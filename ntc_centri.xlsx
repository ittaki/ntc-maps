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caf98343ce689c75/C_pc_2021_1_3/Desktop/ntc/ntc buducnost/mapa centri Ranko/"/>
    </mc:Choice>
  </mc:AlternateContent>
  <xr:revisionPtr revIDLastSave="107" documentId="11_6A3DBE186B949FA189AEC9DFD1B212DBB8FAA44A" xr6:coauthVersionLast="47" xr6:coauthVersionMax="47" xr10:uidLastSave="{B1463A4A-EC69-4C47-86BB-DEAAD5E64676}"/>
  <bookViews>
    <workbookView xWindow="-108" yWindow="492" windowWidth="23256" windowHeight="12576" xr2:uid="{00000000-000D-0000-FFFF-FFFF00000000}"/>
  </bookViews>
  <sheets>
    <sheet name="NTC centri 2526" sheetId="1" r:id="rId1"/>
    <sheet name="NTC centri 2425" sheetId="2" r:id="rId2"/>
    <sheet name="Potencijalni centri 2526" sheetId="3" r:id="rId3"/>
    <sheet name="Samo sekcija 2526" sheetId="4" r:id="rId4"/>
    <sheet name="Zainteresovani za centre - spec" sheetId="5" r:id="rId5"/>
    <sheet name="List 17" sheetId="6" r:id="rId6"/>
    <sheet name="Potencijalni centri 2425" sheetId="7" r:id="rId7"/>
    <sheet name="Samo sekcija 2425" sheetId="8" r:id="rId8"/>
    <sheet name="Samo sekcija 2324" sheetId="9" r:id="rId9"/>
    <sheet name="Spisak predavača po centrima" sheetId="10" r:id="rId10"/>
    <sheet name="Pravila rankiranja centara" sheetId="11" r:id="rId11"/>
  </sheets>
  <definedNames>
    <definedName name="_xlnm._FilterDatabase" localSheetId="1" hidden="1">'NTC centri 2425'!$A$2:$AK$63</definedName>
    <definedName name="_xlnm._FilterDatabase" localSheetId="0" hidden="1">'NTC centri 2526'!$A$2:$AM$76</definedName>
    <definedName name="_xlnm._FilterDatabase" localSheetId="6" hidden="1">'Potencijalni centri 2425'!$A$2:$AR$16</definedName>
    <definedName name="_xlnm._FilterDatabase" localSheetId="2" hidden="1">'Potencijalni centri 2526'!$A$2:$AJ$16</definedName>
    <definedName name="_xlnm._FilterDatabase" localSheetId="9" hidden="1">'Spisak predavača po centrima'!$A$4:$AA$153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 i="1" l="1" a="1"/>
  <c r="AP3" i="1" s="1"/>
  <c r="AP5" i="1" a="1"/>
  <c r="AP5" i="1" s="1"/>
  <c r="AP6" i="1" a="1"/>
  <c r="AP6" i="1" s="1"/>
  <c r="AP7" i="1" a="1"/>
  <c r="AP7" i="1" s="1"/>
  <c r="AP8" i="1" a="1"/>
  <c r="AP8" i="1" s="1"/>
  <c r="AP9" i="1" a="1"/>
  <c r="AP9" i="1" s="1"/>
  <c r="AP10" i="1" a="1"/>
  <c r="AP10" i="1" s="1"/>
  <c r="AP12" i="1" a="1"/>
  <c r="AP12" i="1" s="1"/>
  <c r="AP13" i="1" a="1"/>
  <c r="AP13" i="1" s="1"/>
  <c r="AP14" i="1" a="1"/>
  <c r="AP14" i="1" s="1"/>
  <c r="AP15" i="1" a="1"/>
  <c r="AP15" i="1" s="1"/>
  <c r="AP16" i="1" a="1"/>
  <c r="AP16" i="1" s="1"/>
  <c r="AP17" i="1" a="1"/>
  <c r="AP17" i="1" s="1"/>
  <c r="AP18" i="1" a="1"/>
  <c r="AP18" i="1" s="1"/>
  <c r="AP19" i="1" a="1"/>
  <c r="AP19" i="1" s="1"/>
  <c r="AP20" i="1" a="1"/>
  <c r="AP20" i="1" s="1"/>
  <c r="AP21" i="1" a="1"/>
  <c r="AP21" i="1" s="1"/>
  <c r="AP22" i="1" a="1"/>
  <c r="AP22" i="1" s="1"/>
  <c r="AP23" i="1" a="1"/>
  <c r="AP23" i="1" s="1"/>
  <c r="AP24" i="1" a="1"/>
  <c r="AP24" i="1" s="1"/>
  <c r="AP25" i="1" a="1"/>
  <c r="AP25" i="1" s="1"/>
  <c r="AP26" i="1" a="1"/>
  <c r="AP26" i="1" s="1"/>
  <c r="AP27" i="1" a="1"/>
  <c r="AP27" i="1" s="1"/>
  <c r="AP28" i="1" a="1"/>
  <c r="AP28" i="1" s="1"/>
  <c r="AP29" i="1" a="1"/>
  <c r="AP29" i="1" s="1"/>
  <c r="AP30" i="1" a="1"/>
  <c r="AP30" i="1" s="1"/>
  <c r="AP31" i="1" a="1"/>
  <c r="AP31" i="1" s="1"/>
  <c r="AP32" i="1" a="1"/>
  <c r="AP32" i="1" s="1"/>
  <c r="AP33" i="1" a="1"/>
  <c r="AP33" i="1" s="1"/>
  <c r="AP34" i="1" a="1"/>
  <c r="AP34" i="1" s="1"/>
  <c r="AP35" i="1" a="1"/>
  <c r="AP35" i="1" s="1"/>
  <c r="AP36" i="1" a="1"/>
  <c r="AP36" i="1" s="1"/>
  <c r="AP37" i="1" a="1"/>
  <c r="AP37" i="1" s="1"/>
  <c r="AP38" i="1" a="1"/>
  <c r="AP38" i="1" s="1"/>
  <c r="AP39" i="1" a="1"/>
  <c r="AP39" i="1" s="1"/>
  <c r="AP40" i="1" a="1"/>
  <c r="AP40" i="1" s="1"/>
  <c r="AP41" i="1" a="1"/>
  <c r="AP41" i="1" s="1"/>
  <c r="AP42" i="1" a="1"/>
  <c r="AP42" i="1" s="1"/>
  <c r="AP43" i="1" a="1"/>
  <c r="AP43" i="1" s="1"/>
  <c r="AP44" i="1" a="1"/>
  <c r="AP44" i="1" s="1"/>
  <c r="AP45" i="1" a="1"/>
  <c r="AP45" i="1" s="1"/>
  <c r="AP46" i="1" a="1"/>
  <c r="AP46" i="1" s="1"/>
  <c r="AP47" i="1" a="1"/>
  <c r="AP47" i="1" s="1"/>
  <c r="AP48" i="1" a="1"/>
  <c r="AP48" i="1" s="1"/>
  <c r="AP49" i="1" a="1"/>
  <c r="AP49" i="1" s="1"/>
  <c r="AP50" i="1" a="1"/>
  <c r="AP50" i="1" s="1"/>
  <c r="AP51" i="1" a="1"/>
  <c r="AP51" i="1" s="1"/>
  <c r="AP52" i="1" a="1"/>
  <c r="AP52" i="1" s="1"/>
  <c r="AP53" i="1" a="1"/>
  <c r="AP53" i="1" s="1"/>
  <c r="AP55" i="1" a="1"/>
  <c r="AP55" i="1" s="1"/>
  <c r="AP56" i="1" a="1"/>
  <c r="AP56" i="1" s="1"/>
  <c r="AP57" i="1" a="1"/>
  <c r="AP57" i="1" s="1"/>
  <c r="AP58" i="1" a="1"/>
  <c r="AP58" i="1" s="1"/>
  <c r="AP59" i="1" a="1"/>
  <c r="AP59" i="1" s="1"/>
  <c r="AP60" i="1" a="1"/>
  <c r="AP60" i="1" s="1"/>
  <c r="AP61" i="1" a="1"/>
  <c r="AP61" i="1" s="1"/>
  <c r="AP62" i="1" a="1"/>
  <c r="AP62" i="1" s="1"/>
  <c r="AP63" i="1" a="1"/>
  <c r="AP63" i="1" s="1"/>
  <c r="AP64" i="1" a="1"/>
  <c r="AP64" i="1" s="1"/>
  <c r="AP65" i="1" a="1"/>
  <c r="AP65" i="1" s="1"/>
  <c r="AP66" i="1" a="1"/>
  <c r="AP66" i="1" s="1"/>
  <c r="AP67" i="1" a="1"/>
  <c r="AP67" i="1" s="1"/>
  <c r="AP68" i="1" a="1"/>
  <c r="AP68" i="1" s="1"/>
  <c r="AP69" i="1" a="1"/>
  <c r="AP69" i="1" s="1"/>
  <c r="AP70" i="1" a="1"/>
  <c r="AP70" i="1" s="1"/>
  <c r="AP71" i="1" a="1"/>
  <c r="AP71" i="1" s="1"/>
  <c r="AP73" i="1" a="1"/>
  <c r="AP73" i="1" s="1"/>
  <c r="AP74" i="1" a="1"/>
  <c r="AP74" i="1" s="1"/>
  <c r="AP75" i="1" a="1"/>
  <c r="AP75" i="1" s="1"/>
  <c r="AP76" i="1" a="1"/>
  <c r="AP76" i="1" s="1"/>
  <c r="AO3" i="1" a="1"/>
  <c r="AO3" i="1" s="1"/>
  <c r="AO5" i="1" a="1"/>
  <c r="AO5" i="1" s="1"/>
  <c r="AO6" i="1" a="1"/>
  <c r="AO6" i="1" s="1"/>
  <c r="AO7" i="1" a="1"/>
  <c r="AO7" i="1" s="1"/>
  <c r="AO8" i="1" a="1"/>
  <c r="AO8" i="1" s="1"/>
  <c r="AO9" i="1" a="1"/>
  <c r="AO9" i="1" s="1"/>
  <c r="AO10" i="1" a="1"/>
  <c r="AO10" i="1" s="1"/>
  <c r="AO12" i="1" a="1"/>
  <c r="AO12" i="1" s="1"/>
  <c r="AO13" i="1" a="1"/>
  <c r="AO13" i="1" s="1"/>
  <c r="AO14" i="1" a="1"/>
  <c r="AO14" i="1" s="1"/>
  <c r="AO15" i="1" a="1"/>
  <c r="AO15" i="1" s="1"/>
  <c r="AO16" i="1" a="1"/>
  <c r="AO16" i="1" s="1"/>
  <c r="AO17" i="1" a="1"/>
  <c r="AO17" i="1" s="1"/>
  <c r="AO18" i="1" a="1"/>
  <c r="AO18" i="1" s="1"/>
  <c r="AO19" i="1" a="1"/>
  <c r="AO19" i="1" s="1"/>
  <c r="AO20" i="1" a="1"/>
  <c r="AO20" i="1" s="1"/>
  <c r="AO21" i="1" a="1"/>
  <c r="AO21" i="1" s="1"/>
  <c r="AO22" i="1" a="1"/>
  <c r="AO22" i="1" s="1"/>
  <c r="AO23" i="1" a="1"/>
  <c r="AO23" i="1" s="1"/>
  <c r="AO24" i="1" a="1"/>
  <c r="AO24" i="1" s="1"/>
  <c r="AO25" i="1" a="1"/>
  <c r="AO25" i="1" s="1"/>
  <c r="AO26" i="1" a="1"/>
  <c r="AO26" i="1" s="1"/>
  <c r="AO27" i="1" a="1"/>
  <c r="AO27" i="1" s="1"/>
  <c r="AO28" i="1" a="1"/>
  <c r="AO28" i="1" s="1"/>
  <c r="AO29" i="1" a="1"/>
  <c r="AO29" i="1" s="1"/>
  <c r="AO30" i="1" a="1"/>
  <c r="AO30" i="1" s="1"/>
  <c r="AO31" i="1" a="1"/>
  <c r="AO31" i="1" s="1"/>
  <c r="AO32" i="1" a="1"/>
  <c r="AO32" i="1" s="1"/>
  <c r="AO33" i="1" a="1"/>
  <c r="AO33" i="1" s="1"/>
  <c r="AO34" i="1" a="1"/>
  <c r="AO34" i="1" s="1"/>
  <c r="AO35" i="1" a="1"/>
  <c r="AO35" i="1" s="1"/>
  <c r="AO36" i="1" a="1"/>
  <c r="AO36" i="1" s="1"/>
  <c r="AO37" i="1" a="1"/>
  <c r="AO37" i="1" s="1"/>
  <c r="AO38" i="1" a="1"/>
  <c r="AO38" i="1" s="1"/>
  <c r="AO39" i="1" a="1"/>
  <c r="AO39" i="1" s="1"/>
  <c r="AO40" i="1" a="1"/>
  <c r="AO40" i="1" s="1"/>
  <c r="AO41" i="1" a="1"/>
  <c r="AO41" i="1" s="1"/>
  <c r="AO42" i="1" a="1"/>
  <c r="AO42" i="1" s="1"/>
  <c r="AO43" i="1" a="1"/>
  <c r="AO43" i="1" s="1"/>
  <c r="AO44" i="1" a="1"/>
  <c r="AO44" i="1" s="1"/>
  <c r="AO45" i="1" a="1"/>
  <c r="AO45" i="1" s="1"/>
  <c r="AO46" i="1" a="1"/>
  <c r="AO46" i="1" s="1"/>
  <c r="AO47" i="1" a="1"/>
  <c r="AO47" i="1" s="1"/>
  <c r="AO48" i="1" a="1"/>
  <c r="AO48" i="1" s="1"/>
  <c r="AO49" i="1" a="1"/>
  <c r="AO49" i="1" s="1"/>
  <c r="AO50" i="1" a="1"/>
  <c r="AO50" i="1" s="1"/>
  <c r="AO51" i="1" a="1"/>
  <c r="AO51" i="1" s="1"/>
  <c r="AO52" i="1" a="1"/>
  <c r="AO52" i="1" s="1"/>
  <c r="AO53" i="1" a="1"/>
  <c r="AO53" i="1" s="1"/>
  <c r="AO55" i="1" a="1"/>
  <c r="AO55" i="1" s="1"/>
  <c r="AO56" i="1" a="1"/>
  <c r="AO56" i="1" s="1"/>
  <c r="AO57" i="1" a="1"/>
  <c r="AO57" i="1" s="1"/>
  <c r="AO58" i="1" a="1"/>
  <c r="AO58" i="1" s="1"/>
  <c r="AO59" i="1" a="1"/>
  <c r="AO59" i="1" s="1"/>
  <c r="AO60" i="1" a="1"/>
  <c r="AO60" i="1" s="1"/>
  <c r="AO61" i="1" a="1"/>
  <c r="AO61" i="1" s="1"/>
  <c r="AO62" i="1" a="1"/>
  <c r="AO62" i="1" s="1"/>
  <c r="AO63" i="1" a="1"/>
  <c r="AO63" i="1" s="1"/>
  <c r="AO64" i="1" a="1"/>
  <c r="AO64" i="1" s="1"/>
  <c r="AO65" i="1" a="1"/>
  <c r="AO65" i="1" s="1"/>
  <c r="AO66" i="1" a="1"/>
  <c r="AO66" i="1" s="1"/>
  <c r="AO67" i="1" a="1"/>
  <c r="AO67" i="1" s="1"/>
  <c r="AO68" i="1" a="1"/>
  <c r="AO68" i="1" s="1"/>
  <c r="AO69" i="1" a="1"/>
  <c r="AO69" i="1" s="1"/>
  <c r="AO70" i="1" a="1"/>
  <c r="AO70" i="1" s="1"/>
  <c r="AO71" i="1" a="1"/>
  <c r="AO71" i="1" s="1"/>
  <c r="AO73" i="1" a="1"/>
  <c r="AO73" i="1" s="1"/>
  <c r="AO74" i="1" a="1"/>
  <c r="AO74" i="1" s="1"/>
  <c r="AO75" i="1" a="1"/>
  <c r="AO75" i="1" s="1"/>
  <c r="AO76" i="1" a="1"/>
  <c r="AO76" i="1" s="1"/>
  <c r="D22" i="9"/>
  <c r="E14" i="7"/>
  <c r="E3" i="7"/>
  <c r="T63" i="2"/>
  <c r="U63" i="2" s="1"/>
  <c r="R63" i="2"/>
  <c r="S63" i="2" s="1"/>
  <c r="T62" i="2"/>
  <c r="U62" i="2" s="1"/>
  <c r="R62" i="2"/>
  <c r="S62" i="2" s="1"/>
  <c r="T61" i="2"/>
  <c r="U61" i="2" s="1"/>
  <c r="R61" i="2"/>
  <c r="S61" i="2" s="1"/>
  <c r="T60" i="2"/>
  <c r="U60" i="2" s="1"/>
  <c r="R60" i="2"/>
  <c r="S60" i="2" s="1"/>
  <c r="T59" i="2"/>
  <c r="U59" i="2" s="1"/>
  <c r="R59" i="2"/>
  <c r="S59" i="2" s="1"/>
  <c r="T58" i="2"/>
  <c r="U58" i="2" s="1"/>
  <c r="R58" i="2"/>
  <c r="S58" i="2" s="1"/>
  <c r="T57" i="2"/>
  <c r="U57" i="2" s="1"/>
  <c r="R57" i="2"/>
  <c r="S57" i="2" s="1"/>
  <c r="T56" i="2"/>
  <c r="U56" i="2" s="1"/>
  <c r="R56" i="2"/>
  <c r="S56" i="2" s="1"/>
  <c r="T55" i="2"/>
  <c r="U55" i="2" s="1"/>
  <c r="R55" i="2"/>
  <c r="S55" i="2" s="1"/>
  <c r="T54" i="2"/>
  <c r="U54" i="2" s="1"/>
  <c r="R54" i="2"/>
  <c r="S54" i="2" s="1"/>
  <c r="T53" i="2"/>
  <c r="U53" i="2" s="1"/>
  <c r="R53" i="2"/>
  <c r="S53" i="2" s="1"/>
  <c r="T52" i="2"/>
  <c r="U52" i="2" s="1"/>
  <c r="R52" i="2"/>
  <c r="S52" i="2" s="1"/>
  <c r="T51" i="2"/>
  <c r="U51" i="2" s="1"/>
  <c r="R51" i="2"/>
  <c r="S51" i="2" s="1"/>
  <c r="T50" i="2"/>
  <c r="U50" i="2" s="1"/>
  <c r="R50" i="2"/>
  <c r="S50" i="2" s="1"/>
  <c r="T49" i="2"/>
  <c r="U49" i="2" s="1"/>
  <c r="R49" i="2"/>
  <c r="S49" i="2" s="1"/>
  <c r="T48" i="2"/>
  <c r="U48" i="2" s="1"/>
  <c r="R48" i="2"/>
  <c r="S48" i="2" s="1"/>
  <c r="Z48" i="2" s="1"/>
  <c r="B48" i="2" s="1"/>
  <c r="T47" i="2"/>
  <c r="U47" i="2" s="1"/>
  <c r="R47" i="2"/>
  <c r="S47" i="2" s="1"/>
  <c r="T46" i="2"/>
  <c r="U46" i="2" s="1"/>
  <c r="R46" i="2"/>
  <c r="S46" i="2" s="1"/>
  <c r="T45" i="2"/>
  <c r="U45" i="2" s="1"/>
  <c r="R45" i="2"/>
  <c r="S45" i="2" s="1"/>
  <c r="T44" i="2"/>
  <c r="U44" i="2" s="1"/>
  <c r="R44" i="2"/>
  <c r="S44" i="2" s="1"/>
  <c r="T43" i="2"/>
  <c r="U43" i="2" s="1"/>
  <c r="R43" i="2"/>
  <c r="S43" i="2" s="1"/>
  <c r="T42" i="2"/>
  <c r="U42" i="2" s="1"/>
  <c r="R42" i="2"/>
  <c r="S42" i="2" s="1"/>
  <c r="T41" i="2"/>
  <c r="U41" i="2" s="1"/>
  <c r="R41" i="2"/>
  <c r="S41" i="2" s="1"/>
  <c r="T40" i="2"/>
  <c r="U40" i="2" s="1"/>
  <c r="R40" i="2"/>
  <c r="S40" i="2" s="1"/>
  <c r="T39" i="2"/>
  <c r="U39" i="2" s="1"/>
  <c r="R39" i="2"/>
  <c r="S39" i="2" s="1"/>
  <c r="T38" i="2"/>
  <c r="U38" i="2" s="1"/>
  <c r="R38" i="2"/>
  <c r="S38" i="2" s="1"/>
  <c r="T37" i="2"/>
  <c r="U37" i="2" s="1"/>
  <c r="R37" i="2"/>
  <c r="S37" i="2" s="1"/>
  <c r="T36" i="2"/>
  <c r="U36" i="2" s="1"/>
  <c r="R36" i="2"/>
  <c r="S36" i="2" s="1"/>
  <c r="T35" i="2"/>
  <c r="U35" i="2" s="1"/>
  <c r="R35" i="2"/>
  <c r="S35" i="2" s="1"/>
  <c r="T34" i="2"/>
  <c r="U34" i="2" s="1"/>
  <c r="R34" i="2"/>
  <c r="S34" i="2" s="1"/>
  <c r="T33" i="2"/>
  <c r="U33" i="2" s="1"/>
  <c r="R33" i="2"/>
  <c r="S33" i="2" s="1"/>
  <c r="T32" i="2"/>
  <c r="U32" i="2" s="1"/>
  <c r="R32" i="2"/>
  <c r="S32" i="2" s="1"/>
  <c r="Z32" i="2" s="1"/>
  <c r="B32" i="2" s="1"/>
  <c r="T31" i="2"/>
  <c r="U31" i="2" s="1"/>
  <c r="R31" i="2"/>
  <c r="S31" i="2" s="1"/>
  <c r="T30" i="2"/>
  <c r="U30" i="2" s="1"/>
  <c r="R30" i="2"/>
  <c r="S30" i="2" s="1"/>
  <c r="T29" i="2"/>
  <c r="U29" i="2" s="1"/>
  <c r="R29" i="2"/>
  <c r="S29" i="2" s="1"/>
  <c r="T28" i="2"/>
  <c r="U28" i="2" s="1"/>
  <c r="R28" i="2"/>
  <c r="S28" i="2" s="1"/>
  <c r="T27" i="2"/>
  <c r="U27" i="2" s="1"/>
  <c r="R27" i="2"/>
  <c r="S27" i="2" s="1"/>
  <c r="T26" i="2"/>
  <c r="U26" i="2" s="1"/>
  <c r="R26" i="2"/>
  <c r="S26" i="2" s="1"/>
  <c r="Z26" i="2" s="1"/>
  <c r="B26" i="2" s="1"/>
  <c r="T25" i="2"/>
  <c r="U25" i="2" s="1"/>
  <c r="R25" i="2"/>
  <c r="S25" i="2" s="1"/>
  <c r="T24" i="2"/>
  <c r="U24" i="2" s="1"/>
  <c r="R24" i="2"/>
  <c r="S24" i="2" s="1"/>
  <c r="AH23" i="2"/>
  <c r="R23" i="2" s="1"/>
  <c r="S23" i="2" s="1"/>
  <c r="T23" i="2"/>
  <c r="U23" i="2" s="1"/>
  <c r="T22" i="2"/>
  <c r="U22" i="2" s="1"/>
  <c r="R22" i="2"/>
  <c r="S22" i="2" s="1"/>
  <c r="Z22" i="2" s="1"/>
  <c r="B22" i="2" s="1"/>
  <c r="T21" i="2"/>
  <c r="U21" i="2" s="1"/>
  <c r="R21" i="2"/>
  <c r="S21" i="2" s="1"/>
  <c r="T20" i="2"/>
  <c r="U20" i="2" s="1"/>
  <c r="R20" i="2"/>
  <c r="S20" i="2" s="1"/>
  <c r="T19" i="2"/>
  <c r="U19" i="2" s="1"/>
  <c r="R19" i="2"/>
  <c r="S19" i="2" s="1"/>
  <c r="T18" i="2"/>
  <c r="U18" i="2" s="1"/>
  <c r="R18" i="2"/>
  <c r="S18" i="2" s="1"/>
  <c r="T17" i="2"/>
  <c r="U17" i="2" s="1"/>
  <c r="R17" i="2"/>
  <c r="S17" i="2" s="1"/>
  <c r="T16" i="2"/>
  <c r="U16" i="2" s="1"/>
  <c r="R16" i="2"/>
  <c r="S16" i="2" s="1"/>
  <c r="T15" i="2"/>
  <c r="U15" i="2" s="1"/>
  <c r="R15" i="2"/>
  <c r="S15" i="2" s="1"/>
  <c r="T14" i="2"/>
  <c r="U14" i="2" s="1"/>
  <c r="R14" i="2"/>
  <c r="S14" i="2" s="1"/>
  <c r="T13" i="2"/>
  <c r="U13" i="2" s="1"/>
  <c r="R13" i="2"/>
  <c r="S13" i="2" s="1"/>
  <c r="T12" i="2"/>
  <c r="U12" i="2" s="1"/>
  <c r="R12" i="2"/>
  <c r="S12" i="2" s="1"/>
  <c r="Z12" i="2" s="1"/>
  <c r="B12" i="2" s="1"/>
  <c r="T11" i="2"/>
  <c r="U11" i="2" s="1"/>
  <c r="R11" i="2"/>
  <c r="S11" i="2" s="1"/>
  <c r="T10" i="2"/>
  <c r="U10" i="2" s="1"/>
  <c r="R10" i="2"/>
  <c r="S10" i="2" s="1"/>
  <c r="T9" i="2"/>
  <c r="U9" i="2" s="1"/>
  <c r="R9" i="2"/>
  <c r="S9" i="2" s="1"/>
  <c r="T8" i="2"/>
  <c r="U8" i="2" s="1"/>
  <c r="R8" i="2"/>
  <c r="S8" i="2" s="1"/>
  <c r="T7" i="2"/>
  <c r="U7" i="2" s="1"/>
  <c r="R7" i="2"/>
  <c r="S7" i="2" s="1"/>
  <c r="T6" i="2"/>
  <c r="U6" i="2" s="1"/>
  <c r="R6" i="2"/>
  <c r="S6" i="2" s="1"/>
  <c r="T5" i="2"/>
  <c r="U5" i="2" s="1"/>
  <c r="R5" i="2"/>
  <c r="S5" i="2" s="1"/>
  <c r="T4" i="2"/>
  <c r="U4" i="2" s="1"/>
  <c r="R4" i="2"/>
  <c r="S4" i="2" s="1"/>
  <c r="T3" i="2"/>
  <c r="U3" i="2" s="1"/>
  <c r="R3" i="2"/>
  <c r="S3" i="2" s="1"/>
  <c r="Q76" i="1"/>
  <c r="R76" i="1" s="1"/>
  <c r="O76" i="1"/>
  <c r="P76" i="1" s="1"/>
  <c r="Q75" i="1"/>
  <c r="R75" i="1" s="1"/>
  <c r="O75" i="1"/>
  <c r="P75" i="1" s="1"/>
  <c r="Q19" i="1"/>
  <c r="R19" i="1" s="1"/>
  <c r="O19" i="1"/>
  <c r="P19" i="1" s="1"/>
  <c r="H19" i="1"/>
  <c r="Q22" i="1"/>
  <c r="R22" i="1" s="1"/>
  <c r="O22" i="1"/>
  <c r="P22" i="1" s="1"/>
  <c r="Q15" i="1"/>
  <c r="R15" i="1" s="1"/>
  <c r="O15" i="1"/>
  <c r="P15" i="1" s="1"/>
  <c r="Q50" i="1"/>
  <c r="R50" i="1" s="1"/>
  <c r="O50" i="1"/>
  <c r="P50" i="1" s="1"/>
  <c r="Q56" i="1"/>
  <c r="R56" i="1" s="1"/>
  <c r="O56" i="1"/>
  <c r="P56" i="1" s="1"/>
  <c r="Q69" i="1"/>
  <c r="R69" i="1" s="1"/>
  <c r="O69" i="1"/>
  <c r="P69" i="1" s="1"/>
  <c r="Q68" i="1"/>
  <c r="R68" i="1" s="1"/>
  <c r="O68" i="1"/>
  <c r="P68" i="1" s="1"/>
  <c r="Q67" i="1"/>
  <c r="R67" i="1" s="1"/>
  <c r="O67" i="1"/>
  <c r="P67" i="1" s="1"/>
  <c r="Q12" i="1"/>
  <c r="R12" i="1" s="1"/>
  <c r="O12" i="1"/>
  <c r="P12" i="1" s="1"/>
  <c r="Q7" i="1"/>
  <c r="R7" i="1" s="1"/>
  <c r="O7" i="1"/>
  <c r="P7" i="1" s="1"/>
  <c r="Q43" i="1"/>
  <c r="R43" i="1" s="1"/>
  <c r="O43" i="1"/>
  <c r="P43" i="1" s="1"/>
  <c r="Q34" i="1"/>
  <c r="R34" i="1" s="1"/>
  <c r="O34" i="1"/>
  <c r="P34" i="1" s="1"/>
  <c r="Q23" i="1"/>
  <c r="R23" i="1" s="1"/>
  <c r="O23" i="1"/>
  <c r="P23" i="1" s="1"/>
  <c r="Q17" i="1"/>
  <c r="R17" i="1" s="1"/>
  <c r="O17" i="1"/>
  <c r="P17" i="1" s="1"/>
  <c r="Q8" i="1"/>
  <c r="R8" i="1" s="1"/>
  <c r="O8" i="1"/>
  <c r="P8" i="1" s="1"/>
  <c r="Q42" i="1"/>
  <c r="R42" i="1" s="1"/>
  <c r="O42" i="1"/>
  <c r="P42" i="1" s="1"/>
  <c r="H42" i="1"/>
  <c r="Q58" i="1"/>
  <c r="R58" i="1" s="1"/>
  <c r="O58" i="1"/>
  <c r="P58" i="1" s="1"/>
  <c r="H58" i="1"/>
  <c r="Q45" i="1"/>
  <c r="R45" i="1" s="1"/>
  <c r="O45" i="1"/>
  <c r="P45" i="1" s="1"/>
  <c r="H45" i="1"/>
  <c r="Q49" i="1"/>
  <c r="R49" i="1" s="1"/>
  <c r="O49" i="1"/>
  <c r="P49" i="1" s="1"/>
  <c r="Q40" i="1"/>
  <c r="R40" i="1" s="1"/>
  <c r="O40" i="1"/>
  <c r="P40" i="1" s="1"/>
  <c r="Q72" i="1"/>
  <c r="R72" i="1" s="1"/>
  <c r="O72" i="1"/>
  <c r="P72" i="1" s="1"/>
  <c r="Q70" i="1"/>
  <c r="R70" i="1" s="1"/>
  <c r="O70" i="1"/>
  <c r="P70" i="1" s="1"/>
  <c r="Q52" i="1"/>
  <c r="R52" i="1" s="1"/>
  <c r="O52" i="1"/>
  <c r="P52" i="1" s="1"/>
  <c r="Q65" i="1"/>
  <c r="R65" i="1" s="1"/>
  <c r="O65" i="1"/>
  <c r="P65" i="1" s="1"/>
  <c r="Q47" i="1"/>
  <c r="R47" i="1" s="1"/>
  <c r="O47" i="1"/>
  <c r="P47" i="1" s="1"/>
  <c r="Q54" i="1"/>
  <c r="R54" i="1" s="1"/>
  <c r="O54" i="1"/>
  <c r="P54" i="1" s="1"/>
  <c r="Q48" i="1"/>
  <c r="R48" i="1" s="1"/>
  <c r="O48" i="1"/>
  <c r="P48" i="1" s="1"/>
  <c r="Q30" i="1"/>
  <c r="R30" i="1" s="1"/>
  <c r="O30" i="1"/>
  <c r="P30" i="1" s="1"/>
  <c r="Q46" i="1"/>
  <c r="R46" i="1" s="1"/>
  <c r="O46" i="1"/>
  <c r="P46" i="1" s="1"/>
  <c r="Q71" i="1"/>
  <c r="R71" i="1" s="1"/>
  <c r="O71" i="1"/>
  <c r="P71" i="1" s="1"/>
  <c r="Q13" i="1"/>
  <c r="R13" i="1" s="1"/>
  <c r="O13" i="1"/>
  <c r="P13" i="1" s="1"/>
  <c r="Q33" i="1"/>
  <c r="R33" i="1" s="1"/>
  <c r="O33" i="1"/>
  <c r="P33" i="1" s="1"/>
  <c r="Q20" i="1"/>
  <c r="R20" i="1" s="1"/>
  <c r="O20" i="1"/>
  <c r="P20" i="1" s="1"/>
  <c r="Q38" i="1"/>
  <c r="R38" i="1" s="1"/>
  <c r="O38" i="1"/>
  <c r="P38" i="1" s="1"/>
  <c r="Q44" i="1"/>
  <c r="R44" i="1" s="1"/>
  <c r="O44" i="1"/>
  <c r="P44" i="1" s="1"/>
  <c r="Q73" i="1"/>
  <c r="R73" i="1" s="1"/>
  <c r="O73" i="1"/>
  <c r="P73" i="1" s="1"/>
  <c r="Q14" i="1"/>
  <c r="R14" i="1" s="1"/>
  <c r="O14" i="1"/>
  <c r="P14" i="1" s="1"/>
  <c r="Q57" i="1"/>
  <c r="R57" i="1" s="1"/>
  <c r="O57" i="1"/>
  <c r="P57" i="1" s="1"/>
  <c r="Q24" i="1"/>
  <c r="R24" i="1" s="1"/>
  <c r="O24" i="1"/>
  <c r="P24" i="1" s="1"/>
  <c r="Q62" i="1"/>
  <c r="R62" i="1" s="1"/>
  <c r="O62" i="1"/>
  <c r="P62" i="1" s="1"/>
  <c r="Q31" i="1"/>
  <c r="R31" i="1" s="1"/>
  <c r="O31" i="1"/>
  <c r="P31" i="1" s="1"/>
  <c r="Q18" i="1"/>
  <c r="R18" i="1" s="1"/>
  <c r="O18" i="1"/>
  <c r="P18" i="1" s="1"/>
  <c r="Q63" i="1"/>
  <c r="R63" i="1" s="1"/>
  <c r="O63" i="1"/>
  <c r="P63" i="1" s="1"/>
  <c r="Q60" i="1"/>
  <c r="R60" i="1" s="1"/>
  <c r="O60" i="1"/>
  <c r="P60" i="1" s="1"/>
  <c r="Q10" i="1"/>
  <c r="R10" i="1" s="1"/>
  <c r="O10" i="1"/>
  <c r="P10" i="1" s="1"/>
  <c r="Q25" i="1"/>
  <c r="R25" i="1" s="1"/>
  <c r="O25" i="1"/>
  <c r="P25" i="1" s="1"/>
  <c r="Q35" i="1"/>
  <c r="R35" i="1" s="1"/>
  <c r="O35" i="1"/>
  <c r="P35" i="1" s="1"/>
  <c r="Q74" i="1"/>
  <c r="R74" i="1" s="1"/>
  <c r="O74" i="1"/>
  <c r="P74" i="1" s="1"/>
  <c r="AG11" i="1"/>
  <c r="O11" i="1" s="1"/>
  <c r="P11" i="1" s="1"/>
  <c r="Q11" i="1"/>
  <c r="R11" i="1" s="1"/>
  <c r="Q55" i="1"/>
  <c r="R55" i="1" s="1"/>
  <c r="O55" i="1"/>
  <c r="P55" i="1" s="1"/>
  <c r="Q51" i="1"/>
  <c r="R51" i="1" s="1"/>
  <c r="O51" i="1"/>
  <c r="P51" i="1" s="1"/>
  <c r="Q4" i="1"/>
  <c r="R4" i="1" s="1"/>
  <c r="O4" i="1"/>
  <c r="P4" i="1" s="1"/>
  <c r="Q6" i="1"/>
  <c r="R6" i="1" s="1"/>
  <c r="O6" i="1"/>
  <c r="P6" i="1" s="1"/>
  <c r="Q66" i="1"/>
  <c r="R66" i="1" s="1"/>
  <c r="O66" i="1"/>
  <c r="P66" i="1" s="1"/>
  <c r="Q5" i="1"/>
  <c r="R5" i="1" s="1"/>
  <c r="O5" i="1"/>
  <c r="P5" i="1" s="1"/>
  <c r="Q9" i="1"/>
  <c r="R9" i="1" s="1"/>
  <c r="O9" i="1"/>
  <c r="P9" i="1" s="1"/>
  <c r="Q39" i="1"/>
  <c r="R39" i="1" s="1"/>
  <c r="O39" i="1"/>
  <c r="P39" i="1" s="1"/>
  <c r="Q21" i="1"/>
  <c r="R21" i="1" s="1"/>
  <c r="O21" i="1"/>
  <c r="P21" i="1" s="1"/>
  <c r="Q26" i="1"/>
  <c r="R26" i="1" s="1"/>
  <c r="O26" i="1"/>
  <c r="P26" i="1" s="1"/>
  <c r="Q36" i="1"/>
  <c r="R36" i="1" s="1"/>
  <c r="O36" i="1"/>
  <c r="P36" i="1" s="1"/>
  <c r="Q27" i="1"/>
  <c r="R27" i="1" s="1"/>
  <c r="O27" i="1"/>
  <c r="P27" i="1" s="1"/>
  <c r="Q29" i="1"/>
  <c r="R29" i="1" s="1"/>
  <c r="O29" i="1"/>
  <c r="P29" i="1" s="1"/>
  <c r="Q32" i="1"/>
  <c r="R32" i="1" s="1"/>
  <c r="O32" i="1"/>
  <c r="P32" i="1" s="1"/>
  <c r="Q59" i="1"/>
  <c r="R59" i="1" s="1"/>
  <c r="O59" i="1"/>
  <c r="P59" i="1" s="1"/>
  <c r="Q28" i="1"/>
  <c r="R28" i="1" s="1"/>
  <c r="O28" i="1"/>
  <c r="P28" i="1" s="1"/>
  <c r="Q16" i="1"/>
  <c r="R16" i="1" s="1"/>
  <c r="O16" i="1"/>
  <c r="P16" i="1" s="1"/>
  <c r="Q64" i="1"/>
  <c r="R64" i="1" s="1"/>
  <c r="O64" i="1"/>
  <c r="P64" i="1" s="1"/>
  <c r="Q41" i="1"/>
  <c r="R41" i="1" s="1"/>
  <c r="O41" i="1"/>
  <c r="P41" i="1" s="1"/>
  <c r="Q53" i="1"/>
  <c r="R53" i="1" s="1"/>
  <c r="O53" i="1"/>
  <c r="P53" i="1" s="1"/>
  <c r="Q37" i="1"/>
  <c r="R37" i="1" s="1"/>
  <c r="O37" i="1"/>
  <c r="P37" i="1" s="1"/>
  <c r="Q61" i="1"/>
  <c r="R61" i="1" s="1"/>
  <c r="O61" i="1"/>
  <c r="P61" i="1" s="1"/>
  <c r="Q3" i="1"/>
  <c r="R3" i="1" s="1"/>
  <c r="O3" i="1"/>
  <c r="P3" i="1" s="1"/>
  <c r="Z43" i="2" l="1"/>
  <c r="B43" i="2" s="1"/>
  <c r="Z59" i="2"/>
  <c r="B59" i="2" s="1"/>
  <c r="Z56" i="2"/>
  <c r="B56" i="2" s="1"/>
  <c r="Z13" i="2"/>
  <c r="B13" i="2" s="1"/>
  <c r="Z35" i="2"/>
  <c r="B35" i="2" s="1"/>
  <c r="Z57" i="2"/>
  <c r="B57" i="2" s="1"/>
  <c r="Z11" i="2"/>
  <c r="B11" i="2" s="1"/>
  <c r="Z9" i="2"/>
  <c r="B9" i="2" s="1"/>
  <c r="Z7" i="2"/>
  <c r="B7" i="2" s="1"/>
  <c r="Z36" i="2"/>
  <c r="B36" i="2" s="1"/>
  <c r="Z41" i="2"/>
  <c r="B41" i="2" s="1"/>
  <c r="Z44" i="2"/>
  <c r="B44" i="2" s="1"/>
  <c r="Z51" i="2"/>
  <c r="B51" i="2" s="1"/>
  <c r="Z24" i="2"/>
  <c r="B24" i="2" s="1"/>
  <c r="Z33" i="2"/>
  <c r="B33" i="2" s="1"/>
  <c r="Z6" i="2"/>
  <c r="B6" i="2" s="1"/>
  <c r="Z39" i="2"/>
  <c r="B39" i="2" s="1"/>
  <c r="Z61" i="2"/>
  <c r="B61" i="2" s="1"/>
  <c r="Z28" i="2"/>
  <c r="B28" i="2" s="1"/>
  <c r="Z31" i="2"/>
  <c r="B31" i="2" s="1"/>
  <c r="Z10" i="2"/>
  <c r="B10" i="2" s="1"/>
  <c r="Z23" i="2"/>
  <c r="B23" i="2" s="1"/>
  <c r="Z25" i="2"/>
  <c r="B25" i="2" s="1"/>
  <c r="Z40" i="2"/>
  <c r="B40" i="2" s="1"/>
  <c r="Z49" i="2"/>
  <c r="B49" i="2" s="1"/>
  <c r="Z29" i="2"/>
  <c r="B29" i="2" s="1"/>
  <c r="Z18" i="2"/>
  <c r="B18" i="2" s="1"/>
  <c r="Z52" i="2"/>
  <c r="B52" i="2" s="1"/>
  <c r="Z60" i="2"/>
  <c r="B60" i="2" s="1"/>
  <c r="Z16" i="2"/>
  <c r="B16" i="2" s="1"/>
  <c r="Z30" i="2"/>
  <c r="B30" i="2" s="1"/>
  <c r="Z62" i="2"/>
  <c r="B62" i="2" s="1"/>
  <c r="Z45" i="2"/>
  <c r="B45" i="2" s="1"/>
  <c r="Z58" i="2"/>
  <c r="B58" i="2" s="1"/>
  <c r="Z5" i="2"/>
  <c r="B5" i="2" s="1"/>
  <c r="Z8" i="2"/>
  <c r="B8" i="2" s="1"/>
  <c r="Z17" i="2"/>
  <c r="B17" i="2" s="1"/>
  <c r="Z54" i="2"/>
  <c r="B54" i="2" s="1"/>
  <c r="Z37" i="2"/>
  <c r="B37" i="2" s="1"/>
  <c r="Z3" i="2"/>
  <c r="B3" i="2" s="1"/>
  <c r="Z14" i="2"/>
  <c r="B14" i="2" s="1"/>
  <c r="Z46" i="2"/>
  <c r="B46" i="2" s="1"/>
  <c r="Z50" i="2"/>
  <c r="B50" i="2" s="1"/>
  <c r="Z15" i="2"/>
  <c r="B15" i="2" s="1"/>
  <c r="Z21" i="2"/>
  <c r="B21" i="2" s="1"/>
  <c r="Z42" i="2"/>
  <c r="B42" i="2" s="1"/>
  <c r="Z38" i="2"/>
  <c r="B38" i="2" s="1"/>
  <c r="Z19" i="2"/>
  <c r="B19" i="2" s="1"/>
  <c r="Z34" i="2"/>
  <c r="B34" i="2" s="1"/>
  <c r="Z53" i="2"/>
  <c r="B53" i="2" s="1"/>
  <c r="W70" i="1"/>
  <c r="B70" i="1" s="1"/>
  <c r="W49" i="1"/>
  <c r="B49" i="1" s="1"/>
  <c r="W7" i="1"/>
  <c r="B7" i="1" s="1"/>
  <c r="W22" i="1"/>
  <c r="B22" i="1" s="1"/>
  <c r="W76" i="1"/>
  <c r="B76" i="1" s="1"/>
  <c r="W72" i="1"/>
  <c r="B72" i="1" s="1"/>
  <c r="W51" i="1"/>
  <c r="B51" i="1" s="1"/>
  <c r="W32" i="1"/>
  <c r="B32" i="1" s="1"/>
  <c r="W13" i="1"/>
  <c r="B13" i="1" s="1"/>
  <c r="W18" i="1"/>
  <c r="B18" i="1" s="1"/>
  <c r="W28" i="1"/>
  <c r="B28" i="1" s="1"/>
  <c r="W27" i="1"/>
  <c r="B27" i="1" s="1"/>
  <c r="W66" i="1"/>
  <c r="B66" i="1" s="1"/>
  <c r="W19" i="1"/>
  <c r="B19" i="1" s="1"/>
  <c r="W64" i="1"/>
  <c r="B64" i="1" s="1"/>
  <c r="W58" i="1"/>
  <c r="B58" i="1" s="1"/>
  <c r="W53" i="1"/>
  <c r="B53" i="1" s="1"/>
  <c r="W74" i="1"/>
  <c r="B74" i="1" s="1"/>
  <c r="W60" i="1"/>
  <c r="B60" i="1" s="1"/>
  <c r="W14" i="1"/>
  <c r="B14" i="1" s="1"/>
  <c r="W20" i="1"/>
  <c r="B20" i="1" s="1"/>
  <c r="W46" i="1"/>
  <c r="B46" i="1" s="1"/>
  <c r="W23" i="1"/>
  <c r="B23" i="1" s="1"/>
  <c r="W30" i="1"/>
  <c r="B30" i="1" s="1"/>
  <c r="W56" i="1"/>
  <c r="B56" i="1" s="1"/>
  <c r="W25" i="1"/>
  <c r="B25" i="1" s="1"/>
  <c r="W24" i="1"/>
  <c r="B24" i="1" s="1"/>
  <c r="W44" i="1"/>
  <c r="B44" i="1" s="1"/>
  <c r="W48" i="1"/>
  <c r="B48" i="1" s="1"/>
  <c r="W29" i="1"/>
  <c r="B29" i="1" s="1"/>
  <c r="W57" i="1"/>
  <c r="B57" i="1" s="1"/>
  <c r="W38" i="1"/>
  <c r="B38" i="1" s="1"/>
  <c r="W61" i="1"/>
  <c r="B61" i="1" s="1"/>
  <c r="W17" i="1"/>
  <c r="B17" i="1" s="1"/>
  <c r="W65" i="1"/>
  <c r="B65" i="1" s="1"/>
  <c r="W35" i="1"/>
  <c r="B35" i="1" s="1"/>
  <c r="W31" i="1"/>
  <c r="B31" i="1" s="1"/>
  <c r="W71" i="1"/>
  <c r="B71" i="1" s="1"/>
  <c r="W52" i="1"/>
  <c r="B52" i="1" s="1"/>
  <c r="W40" i="1"/>
  <c r="B40" i="1" s="1"/>
  <c r="W54" i="1"/>
  <c r="B54" i="1" s="1"/>
  <c r="W6" i="1"/>
  <c r="B6" i="1" s="1"/>
  <c r="W62" i="1"/>
  <c r="B62" i="1" s="1"/>
  <c r="W47" i="1"/>
  <c r="B47" i="1" s="1"/>
  <c r="W5" i="1"/>
  <c r="B5" i="1" s="1"/>
  <c r="W26" i="1"/>
  <c r="B26" i="1" s="1"/>
  <c r="W21" i="1"/>
  <c r="B21" i="1" s="1"/>
  <c r="W11" i="1"/>
  <c r="B11" i="1" s="1"/>
  <c r="W39" i="1"/>
  <c r="B39" i="1" s="1"/>
  <c r="W10" i="1"/>
  <c r="B10" i="1" s="1"/>
  <c r="W63" i="1"/>
  <c r="B63" i="1" s="1"/>
  <c r="W33" i="1"/>
  <c r="B33" i="1" s="1"/>
  <c r="W75" i="1"/>
  <c r="B75" i="1" s="1"/>
  <c r="W42" i="1"/>
  <c r="B42" i="1" s="1"/>
  <c r="W69" i="1"/>
  <c r="B69" i="1" s="1"/>
  <c r="W67" i="1"/>
  <c r="B67" i="1" s="1"/>
  <c r="W73" i="1"/>
  <c r="B73" i="1" s="1"/>
  <c r="Z27" i="2"/>
  <c r="B27" i="2" s="1"/>
  <c r="W3" i="1"/>
  <c r="B3" i="1" s="1"/>
  <c r="W16" i="1"/>
  <c r="B16" i="1" s="1"/>
  <c r="W43" i="1"/>
  <c r="B43" i="1" s="1"/>
  <c r="W15" i="1"/>
  <c r="B15" i="1" s="1"/>
  <c r="Z63" i="2"/>
  <c r="B63" i="2" s="1"/>
  <c r="W36" i="1"/>
  <c r="B36" i="1" s="1"/>
  <c r="W4" i="1"/>
  <c r="B4" i="1" s="1"/>
  <c r="Z4" i="2"/>
  <c r="B4" i="2" s="1"/>
  <c r="Z20" i="2"/>
  <c r="B20" i="2" s="1"/>
  <c r="W59" i="1"/>
  <c r="B59" i="1" s="1"/>
  <c r="Z55" i="2"/>
  <c r="B55" i="2" s="1"/>
  <c r="W41" i="1"/>
  <c r="B41" i="1" s="1"/>
  <c r="W37" i="1"/>
  <c r="B37" i="1" s="1"/>
  <c r="W8" i="1"/>
  <c r="B8" i="1" s="1"/>
  <c r="W34" i="1"/>
  <c r="B34" i="1" s="1"/>
  <c r="W12" i="1"/>
  <c r="B12" i="1" s="1"/>
  <c r="W50" i="1"/>
  <c r="B50" i="1" s="1"/>
  <c r="W9" i="1"/>
  <c r="B9" i="1" s="1"/>
  <c r="W55" i="1"/>
  <c r="B55" i="1" s="1"/>
  <c r="W45" i="1"/>
  <c r="B45" i="1" s="1"/>
  <c r="W68" i="1"/>
  <c r="B68" i="1" s="1"/>
  <c r="Z47" i="2"/>
  <c r="B4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2" authorId="0" shapeId="0" xr:uid="{00000000-0006-0000-0000-000001000000}">
      <text>
        <r>
          <rPr>
            <sz val="10"/>
            <color rgb="FF000000"/>
            <rFont val="Arial"/>
            <scheme val="minor"/>
          </rPr>
          <t xml:space="preserve">Presek se radi na početku godine, na polugodištu i na kraju školske godine
Datumi kada raditi preseke
Početak školske godine - oko 15.10. odnosno prvi obračun
Polugodište - oko 15.02. odnosno februarski obračun
Kraj školske godine - 15.06. odnosno poslednji obračun za školsku godinu
</t>
        </r>
      </text>
    </comment>
    <comment ref="J2" authorId="0" shapeId="0" xr:uid="{00000000-0006-0000-0000-000002000000}">
      <text>
        <r>
          <rPr>
            <sz val="10"/>
            <color rgb="FF000000"/>
            <rFont val="Arial"/>
            <scheme val="minor"/>
          </rPr>
          <t>Prethodni presek stanja broja dece 
Primer - ukoliko je tekući broj dece unet za kraj školske godine 24/25, ovde se unosi broj dece na polugodištu 24/25</t>
        </r>
      </text>
    </comment>
    <comment ref="K2" authorId="0" shapeId="0" xr:uid="{00000000-0006-0000-0000-000003000000}">
      <text>
        <r>
          <rPr>
            <sz val="10"/>
            <color rgb="FF000000"/>
            <rFont val="Arial"/>
            <scheme val="minor"/>
          </rPr>
          <t>Primer - ukoliko je tekući broj dece unet za kraj školske godine 24/25, ovde se unosi broj dece na početku školske godine 24/25</t>
        </r>
      </text>
    </comment>
    <comment ref="L2" authorId="0" shapeId="0" xr:uid="{00000000-0006-0000-0000-000004000000}">
      <text>
        <r>
          <rPr>
            <sz val="10"/>
            <color rgb="FF000000"/>
            <rFont val="Arial"/>
            <scheme val="minor"/>
          </rPr>
          <t>Primer - ukoliko je tekući broj dece unet za kraj školske godine 24/25, ovde se unosi broj dece za kraj školske godine 23/24</t>
        </r>
      </text>
    </comment>
    <comment ref="O2" authorId="0" shapeId="0" xr:uid="{00000000-0006-0000-0000-000005000000}">
      <text>
        <r>
          <rPr>
            <sz val="10"/>
            <color rgb="FF000000"/>
            <rFont val="Arial"/>
            <scheme val="minor"/>
          </rPr>
          <t>U odnosu na broj stanovnika</t>
        </r>
      </text>
    </comment>
    <comment ref="P2" authorId="0" shapeId="0" xr:uid="{00000000-0006-0000-0000-000006000000}">
      <text>
        <r>
          <rPr>
            <sz val="10"/>
            <color rgb="FF000000"/>
            <rFont val="Arial"/>
            <scheme val="minor"/>
          </rPr>
          <t>U odnosu na broj stanovnika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100-000001000000}">
      <text>
        <r>
          <rPr>
            <sz val="10"/>
            <color rgb="FF000000"/>
            <rFont val="Arial"/>
            <scheme val="minor"/>
          </rPr>
          <t xml:space="preserve">Presek se radi na početku godine, na polugodištu i na kraju školske godine
Datumi kada raditi preseke
Početak školske godine - oko 15.10. odnosno prvi obračun
Polugodište - oko 15.02. odnosno februarski obračun
Kraj školske godine - 15.06. odnosno poslednji obračun za školsku godinu
</t>
        </r>
      </text>
    </comment>
    <comment ref="M2" authorId="0" shapeId="0" xr:uid="{00000000-0006-0000-0100-000002000000}">
      <text>
        <r>
          <rPr>
            <sz val="10"/>
            <color rgb="FF000000"/>
            <rFont val="Arial"/>
            <scheme val="minor"/>
          </rPr>
          <t>Prethodni presek stanja broja dece 
Primer - ukoliko je tekući broj dece unet za kraj školske godine 24/25, ovde se unosi broj dece na polugodištu 24/25</t>
        </r>
      </text>
    </comment>
    <comment ref="N2" authorId="0" shapeId="0" xr:uid="{00000000-0006-0000-0100-000003000000}">
      <text>
        <r>
          <rPr>
            <sz val="10"/>
            <color rgb="FF000000"/>
            <rFont val="Arial"/>
            <scheme val="minor"/>
          </rPr>
          <t>Primer - ukoliko je tekući broj dece unet za kraj školske godine 24/25, ovde se unosi broj dece na početku školske godine 24/25</t>
        </r>
      </text>
    </comment>
    <comment ref="O2" authorId="0" shapeId="0" xr:uid="{00000000-0006-0000-0100-000004000000}">
      <text>
        <r>
          <rPr>
            <sz val="10"/>
            <color rgb="FF000000"/>
            <rFont val="Arial"/>
            <scheme val="minor"/>
          </rPr>
          <t>Primer - ukoliko je tekući broj dece unet za kraj školske godine 24/25, ovde se unosi broj dece za kraj školske godine 23/24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9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7"/>
        </ext>
      </extLst>
    </bk>
    <bk>
      <extLst>
        <ext uri="{3e2802c4-a4d2-4d8b-9148-e3be6c30e623}">
          <xlrd:rvb i="11"/>
        </ext>
      </extLst>
    </bk>
    <bk>
      <extLst>
        <ext uri="{3e2802c4-a4d2-4d8b-9148-e3be6c30e623}">
          <xlrd:rvb i="15"/>
        </ext>
      </extLst>
    </bk>
    <bk>
      <extLst>
        <ext uri="{3e2802c4-a4d2-4d8b-9148-e3be6c30e623}">
          <xlrd:rvb i="19"/>
        </ext>
      </extLst>
    </bk>
    <bk>
      <extLst>
        <ext uri="{3e2802c4-a4d2-4d8b-9148-e3be6c30e623}">
          <xlrd:rvb i="23"/>
        </ext>
      </extLst>
    </bk>
    <bk>
      <extLst>
        <ext uri="{3e2802c4-a4d2-4d8b-9148-e3be6c30e623}">
          <xlrd:rvb i="26"/>
        </ext>
      </extLst>
    </bk>
    <bk>
      <extLst>
        <ext uri="{3e2802c4-a4d2-4d8b-9148-e3be6c30e623}">
          <xlrd:rvb i="31"/>
        </ext>
      </extLst>
    </bk>
    <bk>
      <extLst>
        <ext uri="{3e2802c4-a4d2-4d8b-9148-e3be6c30e623}">
          <xlrd:rvb i="35"/>
        </ext>
      </extLst>
    </bk>
    <bk>
      <extLst>
        <ext uri="{3e2802c4-a4d2-4d8b-9148-e3be6c30e623}">
          <xlrd:rvb i="39"/>
        </ext>
      </extLst>
    </bk>
    <bk>
      <extLst>
        <ext uri="{3e2802c4-a4d2-4d8b-9148-e3be6c30e623}">
          <xlrd:rvb i="44"/>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6"/>
        </ext>
      </extLst>
    </bk>
    <bk>
      <extLst>
        <ext uri="{3e2802c4-a4d2-4d8b-9148-e3be6c30e623}">
          <xlrd:rvb i="59"/>
        </ext>
      </extLst>
    </bk>
    <bk>
      <extLst>
        <ext uri="{3e2802c4-a4d2-4d8b-9148-e3be6c30e623}">
          <xlrd:rvb i="63"/>
        </ext>
      </extLst>
    </bk>
    <bk>
      <extLst>
        <ext uri="{3e2802c4-a4d2-4d8b-9148-e3be6c30e623}">
          <xlrd:rvb i="67"/>
        </ext>
      </extLst>
    </bk>
    <bk>
      <extLst>
        <ext uri="{3e2802c4-a4d2-4d8b-9148-e3be6c30e623}">
          <xlrd:rvb i="69"/>
        </ext>
      </extLst>
    </bk>
    <bk>
      <extLst>
        <ext uri="{3e2802c4-a4d2-4d8b-9148-e3be6c30e623}">
          <xlrd:rvb i="78"/>
        </ext>
      </extLst>
    </bk>
    <bk>
      <extLst>
        <ext uri="{3e2802c4-a4d2-4d8b-9148-e3be6c30e623}">
          <xlrd:rvb i="81"/>
        </ext>
      </extLst>
    </bk>
    <bk>
      <extLst>
        <ext uri="{3e2802c4-a4d2-4d8b-9148-e3be6c30e623}">
          <xlrd:rvb i="85"/>
        </ext>
      </extLst>
    </bk>
    <bk>
      <extLst>
        <ext uri="{3e2802c4-a4d2-4d8b-9148-e3be6c30e623}">
          <xlrd:rvb i="88"/>
        </ext>
      </extLst>
    </bk>
    <bk>
      <extLst>
        <ext uri="{3e2802c4-a4d2-4d8b-9148-e3be6c30e623}">
          <xlrd:rvb i="92"/>
        </ext>
      </extLst>
    </bk>
    <bk>
      <extLst>
        <ext uri="{3e2802c4-a4d2-4d8b-9148-e3be6c30e623}">
          <xlrd:rvb i="96"/>
        </ext>
      </extLst>
    </bk>
    <bk>
      <extLst>
        <ext uri="{3e2802c4-a4d2-4d8b-9148-e3be6c30e623}">
          <xlrd:rvb i="99"/>
        </ext>
      </extLst>
    </bk>
    <bk>
      <extLst>
        <ext uri="{3e2802c4-a4d2-4d8b-9148-e3be6c30e623}">
          <xlrd:rvb i="103"/>
        </ext>
      </extLst>
    </bk>
    <bk>
      <extLst>
        <ext uri="{3e2802c4-a4d2-4d8b-9148-e3be6c30e623}">
          <xlrd:rvb i="105"/>
        </ext>
      </extLst>
    </bk>
    <bk>
      <extLst>
        <ext uri="{3e2802c4-a4d2-4d8b-9148-e3be6c30e623}">
          <xlrd:rvb i="108"/>
        </ext>
      </extLst>
    </bk>
    <bk>
      <extLst>
        <ext uri="{3e2802c4-a4d2-4d8b-9148-e3be6c30e623}">
          <xlrd:rvb i="112"/>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6"/>
        </ext>
      </extLst>
    </bk>
    <bk>
      <extLst>
        <ext uri="{3e2802c4-a4d2-4d8b-9148-e3be6c30e623}">
          <xlrd:rvb i="130"/>
        </ext>
      </extLst>
    </bk>
    <bk>
      <extLst>
        <ext uri="{3e2802c4-a4d2-4d8b-9148-e3be6c30e623}">
          <xlrd:rvb i="134"/>
        </ext>
      </extLst>
    </bk>
    <bk>
      <extLst>
        <ext uri="{3e2802c4-a4d2-4d8b-9148-e3be6c30e623}">
          <xlrd:rvb i="138"/>
        </ext>
      </extLst>
    </bk>
    <bk>
      <extLst>
        <ext uri="{3e2802c4-a4d2-4d8b-9148-e3be6c30e623}">
          <xlrd:rvb i="141"/>
        </ext>
      </extLst>
    </bk>
    <bk>
      <extLst>
        <ext uri="{3e2802c4-a4d2-4d8b-9148-e3be6c30e623}">
          <xlrd:rvb i="145"/>
        </ext>
      </extLst>
    </bk>
    <bk>
      <extLst>
        <ext uri="{3e2802c4-a4d2-4d8b-9148-e3be6c30e623}">
          <xlrd:rvb i="149"/>
        </ext>
      </extLst>
    </bk>
    <bk>
      <extLst>
        <ext uri="{3e2802c4-a4d2-4d8b-9148-e3be6c30e623}">
          <xlrd:rvb i="152"/>
        </ext>
      </extLst>
    </bk>
    <bk>
      <extLst>
        <ext uri="{3e2802c4-a4d2-4d8b-9148-e3be6c30e623}">
          <xlrd:rvb i="158"/>
        </ext>
      </extLst>
    </bk>
    <bk>
      <extLst>
        <ext uri="{3e2802c4-a4d2-4d8b-9148-e3be6c30e623}">
          <xlrd:rvb i="162"/>
        </ext>
      </extLst>
    </bk>
    <bk>
      <extLst>
        <ext uri="{3e2802c4-a4d2-4d8b-9148-e3be6c30e623}">
          <xlrd:rvb i="166"/>
        </ext>
      </extLst>
    </bk>
    <bk>
      <extLst>
        <ext uri="{3e2802c4-a4d2-4d8b-9148-e3be6c30e623}">
          <xlrd:rvb i="169"/>
        </ext>
      </extLst>
    </bk>
    <bk>
      <extLst>
        <ext uri="{3e2802c4-a4d2-4d8b-9148-e3be6c30e623}">
          <xlrd:rvb i="171"/>
        </ext>
      </extLst>
    </bk>
    <bk>
      <extLst>
        <ext uri="{3e2802c4-a4d2-4d8b-9148-e3be6c30e623}">
          <xlrd:rvb i="174"/>
        </ext>
      </extLst>
    </bk>
    <bk>
      <extLst>
        <ext uri="{3e2802c4-a4d2-4d8b-9148-e3be6c30e623}">
          <xlrd:rvb i="178"/>
        </ext>
      </extLst>
    </bk>
    <bk>
      <extLst>
        <ext uri="{3e2802c4-a4d2-4d8b-9148-e3be6c30e623}">
          <xlrd:rvb i="182"/>
        </ext>
      </extLst>
    </bk>
    <bk>
      <extLst>
        <ext uri="{3e2802c4-a4d2-4d8b-9148-e3be6c30e623}">
          <xlrd:rvb i="184"/>
        </ext>
      </extLst>
    </bk>
    <bk>
      <extLst>
        <ext uri="{3e2802c4-a4d2-4d8b-9148-e3be6c30e623}">
          <xlrd:rvb i="187"/>
        </ext>
      </extLst>
    </bk>
    <bk>
      <extLst>
        <ext uri="{3e2802c4-a4d2-4d8b-9148-e3be6c30e623}">
          <xlrd:rvb i="191"/>
        </ext>
      </extLst>
    </bk>
    <bk>
      <extLst>
        <ext uri="{3e2802c4-a4d2-4d8b-9148-e3be6c30e623}">
          <xlrd:rvb i="194"/>
        </ext>
      </extLst>
    </bk>
    <bk>
      <extLst>
        <ext uri="{3e2802c4-a4d2-4d8b-9148-e3be6c30e623}">
          <xlrd:rvb i="198"/>
        </ext>
      </extLst>
    </bk>
    <bk>
      <extLst>
        <ext uri="{3e2802c4-a4d2-4d8b-9148-e3be6c30e623}">
          <xlrd:rvb i="202"/>
        </ext>
      </extLst>
    </bk>
    <bk>
      <extLst>
        <ext uri="{3e2802c4-a4d2-4d8b-9148-e3be6c30e623}">
          <xlrd:rvb i="206"/>
        </ext>
      </extLst>
    </bk>
    <bk>
      <extLst>
        <ext uri="{3e2802c4-a4d2-4d8b-9148-e3be6c30e623}">
          <xlrd:rvb i="210"/>
        </ext>
      </extLst>
    </bk>
    <bk>
      <extLst>
        <ext uri="{3e2802c4-a4d2-4d8b-9148-e3be6c30e623}">
          <xlrd:rvb i="214"/>
        </ext>
      </extLst>
    </bk>
    <bk>
      <extLst>
        <ext uri="{3e2802c4-a4d2-4d8b-9148-e3be6c30e623}">
          <xlrd:rvb i="216"/>
        </ext>
      </extLst>
    </bk>
    <bk>
      <extLst>
        <ext uri="{3e2802c4-a4d2-4d8b-9148-e3be6c30e623}">
          <xlrd:rvb i="220"/>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4"/>
        </ext>
      </extLst>
    </bk>
    <bk>
      <extLst>
        <ext uri="{3e2802c4-a4d2-4d8b-9148-e3be6c30e623}">
          <xlrd:rvb i="237"/>
        </ext>
      </extLst>
    </bk>
    <bk>
      <extLst>
        <ext uri="{3e2802c4-a4d2-4d8b-9148-e3be6c30e623}">
          <xlrd:rvb i="241"/>
        </ext>
      </extLst>
    </bk>
    <bk>
      <extLst>
        <ext uri="{3e2802c4-a4d2-4d8b-9148-e3be6c30e623}">
          <xlrd:rvb i="245"/>
        </ext>
      </extLst>
    </bk>
    <bk>
      <extLst>
        <ext uri="{3e2802c4-a4d2-4d8b-9148-e3be6c30e623}">
          <xlrd:rvb i="248"/>
        </ext>
      </extLst>
    </bk>
    <bk>
      <extLst>
        <ext uri="{3e2802c4-a4d2-4d8b-9148-e3be6c30e623}">
          <xlrd:rvb i="252"/>
        </ext>
      </extLst>
    </bk>
    <bk>
      <extLst>
        <ext uri="{3e2802c4-a4d2-4d8b-9148-e3be6c30e623}">
          <xlrd:rvb i="256"/>
        </ext>
      </extLst>
    </bk>
    <bk>
      <extLst>
        <ext uri="{3e2802c4-a4d2-4d8b-9148-e3be6c30e623}">
          <xlrd:rvb i="258"/>
        </ext>
      </extLst>
    </bk>
    <bk>
      <extLst>
        <ext uri="{3e2802c4-a4d2-4d8b-9148-e3be6c30e623}">
          <xlrd:rvb i="264"/>
        </ext>
      </extLst>
    </bk>
    <bk>
      <extLst>
        <ext uri="{3e2802c4-a4d2-4d8b-9148-e3be6c30e623}">
          <xlrd:rvb i="266"/>
        </ext>
      </extLst>
    </bk>
    <bk>
      <extLst>
        <ext uri="{3e2802c4-a4d2-4d8b-9148-e3be6c30e623}">
          <xlrd:rvb i="270"/>
        </ext>
      </extLst>
    </bk>
    <bk>
      <extLst>
        <ext uri="{3e2802c4-a4d2-4d8b-9148-e3be6c30e623}">
          <xlrd:rvb i="274"/>
        </ext>
      </extLst>
    </bk>
    <bk>
      <extLst>
        <ext uri="{3e2802c4-a4d2-4d8b-9148-e3be6c30e623}">
          <xlrd:rvb i="277"/>
        </ext>
      </extLst>
    </bk>
    <bk>
      <extLst>
        <ext uri="{3e2802c4-a4d2-4d8b-9148-e3be6c30e623}">
          <xlrd:rvb i="281"/>
        </ext>
      </extLst>
    </bk>
    <bk>
      <extLst>
        <ext uri="{3e2802c4-a4d2-4d8b-9148-e3be6c30e623}">
          <xlrd:rvb i="285"/>
        </ext>
      </extLst>
    </bk>
    <bk>
      <extLst>
        <ext uri="{3e2802c4-a4d2-4d8b-9148-e3be6c30e623}">
          <xlrd:rvb i="287"/>
        </ext>
      </extLst>
    </bk>
    <bk>
      <extLst>
        <ext uri="{3e2802c4-a4d2-4d8b-9148-e3be6c30e623}">
          <xlrd:rvb i="290"/>
        </ext>
      </extLst>
    </bk>
    <bk>
      <extLst>
        <ext uri="{3e2802c4-a4d2-4d8b-9148-e3be6c30e623}">
          <xlrd:rvb i="294"/>
        </ext>
      </extLst>
    </bk>
    <bk>
      <extLst>
        <ext uri="{3e2802c4-a4d2-4d8b-9148-e3be6c30e623}">
          <xlrd:rvb i="296"/>
        </ext>
      </extLst>
    </bk>
    <bk>
      <extLst>
        <ext uri="{3e2802c4-a4d2-4d8b-9148-e3be6c30e623}">
          <xlrd:rvb i="299"/>
        </ext>
      </extLst>
    </bk>
    <bk>
      <extLst>
        <ext uri="{3e2802c4-a4d2-4d8b-9148-e3be6c30e623}">
          <xlrd:rvb i="301"/>
        </ext>
      </extLst>
    </bk>
    <bk>
      <extLst>
        <ext uri="{3e2802c4-a4d2-4d8b-9148-e3be6c30e623}">
          <xlrd:rvb i="304"/>
        </ext>
      </extLst>
    </bk>
    <bk>
      <extLst>
        <ext uri="{3e2802c4-a4d2-4d8b-9148-e3be6c30e623}">
          <xlrd:rvb i="308"/>
        </ext>
      </extLst>
    </bk>
    <bk>
      <extLst>
        <ext uri="{3e2802c4-a4d2-4d8b-9148-e3be6c30e623}">
          <xlrd:rvb i="312"/>
        </ext>
      </extLst>
    </bk>
    <bk>
      <extLst>
        <ext uri="{3e2802c4-a4d2-4d8b-9148-e3be6c30e623}">
          <xlrd:rvb i="315"/>
        </ext>
      </extLst>
    </bk>
    <bk>
      <extLst>
        <ext uri="{3e2802c4-a4d2-4d8b-9148-e3be6c30e623}">
          <xlrd:rvb i="320"/>
        </ext>
      </extLst>
    </bk>
    <bk>
      <extLst>
        <ext uri="{3e2802c4-a4d2-4d8b-9148-e3be6c30e623}">
          <xlrd:rvb i="324"/>
        </ext>
      </extLst>
    </bk>
    <bk>
      <extLst>
        <ext uri="{3e2802c4-a4d2-4d8b-9148-e3be6c30e623}">
          <xlrd:rvb i="327"/>
        </ext>
      </extLst>
    </bk>
    <bk>
      <extLst>
        <ext uri="{3e2802c4-a4d2-4d8b-9148-e3be6c30e623}">
          <xlrd:rvb i="334"/>
        </ext>
      </extLst>
    </bk>
    <bk>
      <extLst>
        <ext uri="{3e2802c4-a4d2-4d8b-9148-e3be6c30e623}">
          <xlrd:rvb i="337"/>
        </ext>
      </extLst>
    </bk>
    <bk>
      <extLst>
        <ext uri="{3e2802c4-a4d2-4d8b-9148-e3be6c30e623}">
          <xlrd:rvb i="341"/>
        </ext>
      </extLst>
    </bk>
    <bk>
      <extLst>
        <ext uri="{3e2802c4-a4d2-4d8b-9148-e3be6c30e623}">
          <xlrd:rvb i="345"/>
        </ext>
      </extLst>
    </bk>
    <bk>
      <extLst>
        <ext uri="{3e2802c4-a4d2-4d8b-9148-e3be6c30e623}">
          <xlrd:rvb i="348"/>
        </ext>
      </extLst>
    </bk>
    <bk>
      <extLst>
        <ext uri="{3e2802c4-a4d2-4d8b-9148-e3be6c30e623}">
          <xlrd:rvb i="352"/>
        </ext>
      </extLst>
    </bk>
    <bk>
      <extLst>
        <ext uri="{3e2802c4-a4d2-4d8b-9148-e3be6c30e623}">
          <xlrd:rvb i="356"/>
        </ext>
      </extLst>
    </bk>
    <bk>
      <extLst>
        <ext uri="{3e2802c4-a4d2-4d8b-9148-e3be6c30e623}">
          <xlrd:rvb i="359"/>
        </ext>
      </extLst>
    </bk>
    <bk>
      <extLst>
        <ext uri="{3e2802c4-a4d2-4d8b-9148-e3be6c30e623}">
          <xlrd:rvb i="362"/>
        </ext>
      </extLst>
    </bk>
    <bk>
      <extLst>
        <ext uri="{3e2802c4-a4d2-4d8b-9148-e3be6c30e623}">
          <xlrd:rvb i="366"/>
        </ext>
      </extLst>
    </bk>
    <bk>
      <extLst>
        <ext uri="{3e2802c4-a4d2-4d8b-9148-e3be6c30e623}">
          <xlrd:rvb i="369"/>
        </ext>
      </extLst>
    </bk>
    <bk>
      <extLst>
        <ext uri="{3e2802c4-a4d2-4d8b-9148-e3be6c30e623}">
          <xlrd:rvb i="374"/>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9"/>
        </ext>
      </extLst>
    </bk>
    <bk>
      <extLst>
        <ext uri="{3e2802c4-a4d2-4d8b-9148-e3be6c30e623}">
          <xlrd:rvb i="392"/>
        </ext>
      </extLst>
    </bk>
    <bk>
      <extLst>
        <ext uri="{3e2802c4-a4d2-4d8b-9148-e3be6c30e623}">
          <xlrd:rvb i="396"/>
        </ext>
      </extLst>
    </bk>
    <bk>
      <extLst>
        <ext uri="{3e2802c4-a4d2-4d8b-9148-e3be6c30e623}">
          <xlrd:rvb i="400"/>
        </ext>
      </extLst>
    </bk>
    <bk>
      <extLst>
        <ext uri="{3e2802c4-a4d2-4d8b-9148-e3be6c30e623}">
          <xlrd:rvb i="403"/>
        </ext>
      </extLst>
    </bk>
    <bk>
      <extLst>
        <ext uri="{3e2802c4-a4d2-4d8b-9148-e3be6c30e623}">
          <xlrd:rvb i="407"/>
        </ext>
      </extLst>
    </bk>
    <bk>
      <extLst>
        <ext uri="{3e2802c4-a4d2-4d8b-9148-e3be6c30e623}">
          <xlrd:rvb i="411"/>
        </ext>
      </extLst>
    </bk>
    <bk>
      <extLst>
        <ext uri="{3e2802c4-a4d2-4d8b-9148-e3be6c30e623}">
          <xlrd:rvb i="414"/>
        </ext>
      </extLst>
    </bk>
    <bk>
      <extLst>
        <ext uri="{3e2802c4-a4d2-4d8b-9148-e3be6c30e623}">
          <xlrd:rvb i="419"/>
        </ext>
      </extLst>
    </bk>
    <bk>
      <extLst>
        <ext uri="{3e2802c4-a4d2-4d8b-9148-e3be6c30e623}">
          <xlrd:rvb i="423"/>
        </ext>
      </extLst>
    </bk>
    <bk>
      <extLst>
        <ext uri="{3e2802c4-a4d2-4d8b-9148-e3be6c30e623}">
          <xlrd:rvb i="425"/>
        </ext>
      </extLst>
    </bk>
    <bk>
      <extLst>
        <ext uri="{3e2802c4-a4d2-4d8b-9148-e3be6c30e623}">
          <xlrd:rvb i="428"/>
        </ext>
      </extLst>
    </bk>
    <bk>
      <extLst>
        <ext uri="{3e2802c4-a4d2-4d8b-9148-e3be6c30e623}">
          <xlrd:rvb i="432"/>
        </ext>
      </extLst>
    </bk>
    <bk>
      <extLst>
        <ext uri="{3e2802c4-a4d2-4d8b-9148-e3be6c30e623}">
          <xlrd:rvb i="435"/>
        </ext>
      </extLst>
    </bk>
    <bk>
      <extLst>
        <ext uri="{3e2802c4-a4d2-4d8b-9148-e3be6c30e623}">
          <xlrd:rvb i="439"/>
        </ext>
      </extLst>
    </bk>
    <bk>
      <extLst>
        <ext uri="{3e2802c4-a4d2-4d8b-9148-e3be6c30e623}">
          <xlrd:rvb i="442"/>
        </ext>
      </extLst>
    </bk>
    <bk>
      <extLst>
        <ext uri="{3e2802c4-a4d2-4d8b-9148-e3be6c30e623}">
          <xlrd:rvb i="446"/>
        </ext>
      </extLst>
    </bk>
    <bk>
      <extLst>
        <ext uri="{3e2802c4-a4d2-4d8b-9148-e3be6c30e623}">
          <xlrd:rvb i="450"/>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4"/>
        </ext>
      </extLst>
    </bk>
    <bk>
      <extLst>
        <ext uri="{3e2802c4-a4d2-4d8b-9148-e3be6c30e623}">
          <xlrd:rvb i="477"/>
        </ext>
      </extLst>
    </bk>
    <bk>
      <extLst>
        <ext uri="{3e2802c4-a4d2-4d8b-9148-e3be6c30e623}">
          <xlrd:rvb i="480"/>
        </ext>
      </extLst>
    </bk>
    <bk>
      <extLst>
        <ext uri="{3e2802c4-a4d2-4d8b-9148-e3be6c30e623}">
          <xlrd:rvb i="482"/>
        </ext>
      </extLst>
    </bk>
    <bk>
      <extLst>
        <ext uri="{3e2802c4-a4d2-4d8b-9148-e3be6c30e623}">
          <xlrd:rvb i="485"/>
        </ext>
      </extLst>
    </bk>
    <bk>
      <extLst>
        <ext uri="{3e2802c4-a4d2-4d8b-9148-e3be6c30e623}">
          <xlrd:rvb i="494"/>
        </ext>
      </extLst>
    </bk>
    <bk>
      <extLst>
        <ext uri="{3e2802c4-a4d2-4d8b-9148-e3be6c30e623}">
          <xlrd:rvb i="498"/>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21"/>
        </ext>
      </extLst>
    </bk>
    <bk>
      <extLst>
        <ext uri="{3e2802c4-a4d2-4d8b-9148-e3be6c30e623}">
          <xlrd:rvb i="524"/>
        </ext>
      </extLst>
    </bk>
    <bk>
      <extLst>
        <ext uri="{3e2802c4-a4d2-4d8b-9148-e3be6c30e623}">
          <xlrd:rvb i="529"/>
        </ext>
      </extLst>
    </bk>
    <bk>
      <extLst>
        <ext uri="{3e2802c4-a4d2-4d8b-9148-e3be6c30e623}">
          <xlrd:rvb i="533"/>
        </ext>
      </extLst>
    </bk>
    <bk>
      <extLst>
        <ext uri="{3e2802c4-a4d2-4d8b-9148-e3be6c30e623}">
          <xlrd:rvb i="537"/>
        </ext>
      </extLst>
    </bk>
    <bk>
      <extLst>
        <ext uri="{3e2802c4-a4d2-4d8b-9148-e3be6c30e623}">
          <xlrd:rvb i="541"/>
        </ext>
      </extLst>
    </bk>
    <bk>
      <extLst>
        <ext uri="{3e2802c4-a4d2-4d8b-9148-e3be6c30e623}">
          <xlrd:rvb i="543"/>
        </ext>
      </extLst>
    </bk>
    <bk>
      <extLst>
        <ext uri="{3e2802c4-a4d2-4d8b-9148-e3be6c30e623}">
          <xlrd:rvb i="546"/>
        </ext>
      </extLst>
    </bk>
    <bk>
      <extLst>
        <ext uri="{3e2802c4-a4d2-4d8b-9148-e3be6c30e623}">
          <xlrd:rvb i="549"/>
        </ext>
      </extLst>
    </bk>
    <bk>
      <extLst>
        <ext uri="{3e2802c4-a4d2-4d8b-9148-e3be6c30e623}">
          <xlrd:rvb i="553"/>
        </ext>
      </extLst>
    </bk>
    <bk>
      <extLst>
        <ext uri="{3e2802c4-a4d2-4d8b-9148-e3be6c30e623}">
          <xlrd:rvb i="555"/>
        </ext>
      </extLst>
    </bk>
    <bk>
      <extLst>
        <ext uri="{3e2802c4-a4d2-4d8b-9148-e3be6c30e623}">
          <xlrd:rvb i="557"/>
        </ext>
      </extLst>
    </bk>
    <bk>
      <extLst>
        <ext uri="{3e2802c4-a4d2-4d8b-9148-e3be6c30e623}">
          <xlrd:rvb i="562"/>
        </ext>
      </extLst>
    </bk>
    <bk>
      <extLst>
        <ext uri="{3e2802c4-a4d2-4d8b-9148-e3be6c30e623}">
          <xlrd:rvb i="566"/>
        </ext>
      </extLst>
    </bk>
    <bk>
      <extLst>
        <ext uri="{3e2802c4-a4d2-4d8b-9148-e3be6c30e623}">
          <xlrd:rvb i="570"/>
        </ext>
      </extLst>
    </bk>
    <bk>
      <extLst>
        <ext uri="{3e2802c4-a4d2-4d8b-9148-e3be6c30e623}">
          <xlrd:rvb i="573"/>
        </ext>
      </extLst>
    </bk>
    <bk>
      <extLst>
        <ext uri="{3e2802c4-a4d2-4d8b-9148-e3be6c30e623}">
          <xlrd:rvb i="576"/>
        </ext>
      </extLst>
    </bk>
    <bk>
      <extLst>
        <ext uri="{3e2802c4-a4d2-4d8b-9148-e3be6c30e623}">
          <xlrd:rvb i="580"/>
        </ext>
      </extLst>
    </bk>
    <bk>
      <extLst>
        <ext uri="{3e2802c4-a4d2-4d8b-9148-e3be6c30e623}">
          <xlrd:rvb i="582"/>
        </ext>
      </extLst>
    </bk>
    <bk>
      <extLst>
        <ext uri="{3e2802c4-a4d2-4d8b-9148-e3be6c30e623}">
          <xlrd:rvb i="585"/>
        </ext>
      </extLst>
    </bk>
    <bk>
      <extLst>
        <ext uri="{3e2802c4-a4d2-4d8b-9148-e3be6c30e623}">
          <xlrd:rvb i="589"/>
        </ext>
      </extLst>
    </bk>
    <bk>
      <extLst>
        <ext uri="{3e2802c4-a4d2-4d8b-9148-e3be6c30e623}">
          <xlrd:rvb i="592"/>
        </ext>
      </extLst>
    </bk>
    <bk>
      <extLst>
        <ext uri="{3e2802c4-a4d2-4d8b-9148-e3be6c30e623}">
          <xlrd:rvb i="596"/>
        </ext>
      </extLst>
    </bk>
    <bk>
      <extLst>
        <ext uri="{3e2802c4-a4d2-4d8b-9148-e3be6c30e623}">
          <xlrd:rvb i="600"/>
        </ext>
      </extLst>
    </bk>
    <bk>
      <extLst>
        <ext uri="{3e2802c4-a4d2-4d8b-9148-e3be6c30e623}">
          <xlrd:rvb i="603"/>
        </ext>
      </extLst>
    </bk>
    <bk>
      <extLst>
        <ext uri="{3e2802c4-a4d2-4d8b-9148-e3be6c30e623}">
          <xlrd:rvb i="606"/>
        </ext>
      </extLst>
    </bk>
    <bk>
      <extLst>
        <ext uri="{3e2802c4-a4d2-4d8b-9148-e3be6c30e623}">
          <xlrd:rvb i="610"/>
        </ext>
      </extLst>
    </bk>
    <bk>
      <extLst>
        <ext uri="{3e2802c4-a4d2-4d8b-9148-e3be6c30e623}">
          <xlrd:rvb i="612"/>
        </ext>
      </extLst>
    </bk>
    <bk>
      <extLst>
        <ext uri="{3e2802c4-a4d2-4d8b-9148-e3be6c30e623}">
          <xlrd:rvb i="616"/>
        </ext>
      </extLst>
    </bk>
    <bk>
      <extLst>
        <ext uri="{3e2802c4-a4d2-4d8b-9148-e3be6c30e623}">
          <xlrd:rvb i="620"/>
        </ext>
      </extLst>
    </bk>
    <bk>
      <extLst>
        <ext uri="{3e2802c4-a4d2-4d8b-9148-e3be6c30e623}">
          <xlrd:rvb i="623"/>
        </ext>
      </extLst>
    </bk>
    <bk>
      <extLst>
        <ext uri="{3e2802c4-a4d2-4d8b-9148-e3be6c30e623}">
          <xlrd:rvb i="625"/>
        </ext>
      </extLst>
    </bk>
    <bk>
      <extLst>
        <ext uri="{3e2802c4-a4d2-4d8b-9148-e3be6c30e623}">
          <xlrd:rvb i="629"/>
        </ext>
      </extLst>
    </bk>
    <bk>
      <extLst>
        <ext uri="{3e2802c4-a4d2-4d8b-9148-e3be6c30e623}">
          <xlrd:rvb i="632"/>
        </ext>
      </extLst>
    </bk>
    <bk>
      <extLst>
        <ext uri="{3e2802c4-a4d2-4d8b-9148-e3be6c30e623}">
          <xlrd:rvb i="640"/>
        </ext>
      </extLst>
    </bk>
    <bk>
      <extLst>
        <ext uri="{3e2802c4-a4d2-4d8b-9148-e3be6c30e623}">
          <xlrd:rvb i="643"/>
        </ext>
      </extLst>
    </bk>
    <bk>
      <extLst>
        <ext uri="{3e2802c4-a4d2-4d8b-9148-e3be6c30e623}">
          <xlrd:rvb i="647"/>
        </ext>
      </extLst>
    </bk>
    <bk>
      <extLst>
        <ext uri="{3e2802c4-a4d2-4d8b-9148-e3be6c30e623}">
          <xlrd:rvb i="650"/>
        </ext>
      </extLst>
    </bk>
    <bk>
      <extLst>
        <ext uri="{3e2802c4-a4d2-4d8b-9148-e3be6c30e623}">
          <xlrd:rvb i="653"/>
        </ext>
      </extLst>
    </bk>
    <bk>
      <extLst>
        <ext uri="{3e2802c4-a4d2-4d8b-9148-e3be6c30e623}">
          <xlrd:rvb i="657"/>
        </ext>
      </extLst>
    </bk>
    <bk>
      <extLst>
        <ext uri="{3e2802c4-a4d2-4d8b-9148-e3be6c30e623}">
          <xlrd:rvb i="661"/>
        </ext>
      </extLst>
    </bk>
    <bk>
      <extLst>
        <ext uri="{3e2802c4-a4d2-4d8b-9148-e3be6c30e623}">
          <xlrd:rvb i="664"/>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77"/>
        </ext>
      </extLst>
    </bk>
  </futureMetadata>
  <cellMetadata count="1">
    <bk>
      <rc t="1" v="0"/>
    </bk>
  </cellMetadata>
  <valueMetadata count="19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valueMetadata>
</metadata>
</file>

<file path=xl/sharedStrings.xml><?xml version="1.0" encoding="utf-8"?>
<sst xmlns="http://schemas.openxmlformats.org/spreadsheetml/2006/main" count="3829" uniqueCount="1384">
  <si>
    <t>Grad</t>
  </si>
  <si>
    <t>Nivo NTC centra</t>
  </si>
  <si>
    <t>Država</t>
  </si>
  <si>
    <t>Koordinator</t>
  </si>
  <si>
    <t>e-mail (lični NTCucenje)</t>
  </si>
  <si>
    <t>e-mail (grad NTCucenje)</t>
  </si>
  <si>
    <t>e-mail (dodatni)</t>
  </si>
  <si>
    <t>Broj telefona</t>
  </si>
  <si>
    <t>Tekući broj dece (poslednji presek)</t>
  </si>
  <si>
    <t>Presek stanja broja dece -1</t>
  </si>
  <si>
    <t>Presek stanja broja dece -2</t>
  </si>
  <si>
    <t>Presek stanja broja dece -3</t>
  </si>
  <si>
    <t>Lokacije radionica</t>
  </si>
  <si>
    <t>Cena radionica</t>
  </si>
  <si>
    <t>Trenutni procenat dece</t>
  </si>
  <si>
    <t>Bodovi na osnovu ukupnog broja dece</t>
  </si>
  <si>
    <t>Rast broja dece u procentima u prethodnih godinu dana</t>
  </si>
  <si>
    <t>Bodovi na osnovu rasta broja dece</t>
  </si>
  <si>
    <t>Marketing</t>
  </si>
  <si>
    <t>Ažurnost</t>
  </si>
  <si>
    <t>Kvalitet</t>
  </si>
  <si>
    <t>Broj dece iz centra na kampu</t>
  </si>
  <si>
    <t>Suma bodova centra</t>
  </si>
  <si>
    <t>Napomena</t>
  </si>
  <si>
    <t>Društvene mreže povezane sa ntcucenje nalogom</t>
  </si>
  <si>
    <t>Broj dece na kraju školske godine 2023.</t>
  </si>
  <si>
    <t>Broj dece na kraju školske godine 2024.</t>
  </si>
  <si>
    <t>Broj dece na kraju školske godine 2025.</t>
  </si>
  <si>
    <t>Firma</t>
  </si>
  <si>
    <t>Obračun</t>
  </si>
  <si>
    <t>Osoba sa NTC sertifikatom</t>
  </si>
  <si>
    <t>Start rada centra</t>
  </si>
  <si>
    <t>Broj stanovnika grada/mesta</t>
  </si>
  <si>
    <t>Firma (ugovor) na koju se potpisuje stručna podrška</t>
  </si>
  <si>
    <t>Ugovor o stručnoj podršci</t>
  </si>
  <si>
    <t>Ugovor o autorizaciji</t>
  </si>
  <si>
    <t>Broj ugovora</t>
  </si>
  <si>
    <t>Aktivan da/ne</t>
  </si>
  <si>
    <t>Iskorišćen gratis seminar</t>
  </si>
  <si>
    <t xml:space="preserve">Kikinda </t>
  </si>
  <si>
    <t>Srbija</t>
  </si>
  <si>
    <t>Slađana Grujić</t>
  </si>
  <si>
    <t>sladjana.grujic@ntcucenje.com</t>
  </si>
  <si>
    <t>kikinda@ntcucenje.com</t>
  </si>
  <si>
    <t>381644056369</t>
  </si>
  <si>
    <t>Ne</t>
  </si>
  <si>
    <t>Stara Pazova</t>
  </si>
  <si>
    <t>Višnja Furtula</t>
  </si>
  <si>
    <t>visnja.furtula@ntcucenje.com</t>
  </si>
  <si>
    <t>stara.pazova@ntcucenje.com</t>
  </si>
  <si>
    <t>064 4605050</t>
  </si>
  <si>
    <t>OŠ „Janko Čmelik“ Karađorđeva 2</t>
  </si>
  <si>
    <t>ED Višnja Edu</t>
  </si>
  <si>
    <t>centrala</t>
  </si>
  <si>
    <t>Vesna Anastasov</t>
  </si>
  <si>
    <t>2018.</t>
  </si>
  <si>
    <t>NS Pan EDU</t>
  </si>
  <si>
    <t>Da</t>
  </si>
  <si>
    <t>SRB2025 - 08</t>
  </si>
  <si>
    <t>NE</t>
  </si>
  <si>
    <t>Novi Kneževac</t>
  </si>
  <si>
    <t>Andrijana Božanin</t>
  </si>
  <si>
    <t>andrijana.bozanin@ntcucenje.com</t>
  </si>
  <si>
    <t>novi.knezevac@ntcucenje.com</t>
  </si>
  <si>
    <t>381646593371</t>
  </si>
  <si>
    <t>OŠ "Jovan Jovanović Zmaj" Kralja Petra I Karađorđevića 13</t>
  </si>
  <si>
    <t>STArt AP edukativni centar,</t>
  </si>
  <si>
    <t>mart 2025.</t>
  </si>
  <si>
    <t>NS Junior EDU</t>
  </si>
  <si>
    <t>SRB2025 - 10</t>
  </si>
  <si>
    <t>Šajkaš</t>
  </si>
  <si>
    <t>Branislava Cucić Topalov</t>
  </si>
  <si>
    <t>branislava.cucic.topalov@ntcucenje.com</t>
  </si>
  <si>
    <t>sajkas@ntcucenje.com</t>
  </si>
  <si>
    <t>381644055588</t>
  </si>
  <si>
    <t>OŠ"Isidora Sekulić Petra Drapšna 56, Šajkaš</t>
  </si>
  <si>
    <t>EDUKATIVNI CENTAR SMART TEACHING, Zrenjanin</t>
  </si>
  <si>
    <t>april 2025.</t>
  </si>
  <si>
    <t>SRB2025 - 11</t>
  </si>
  <si>
    <t>Pančevo</t>
  </si>
  <si>
    <t>Ivana Otašević Veljin</t>
  </si>
  <si>
    <t>ivana.otasevic.veljin@ntcucenje.com</t>
  </si>
  <si>
    <t>pancevo@ntcucenje.com</t>
  </si>
  <si>
    <t>0621206212</t>
  </si>
  <si>
    <t xml:space="preserve">Dom omladine, Svetog Save 10; Korak po korak 2 (Braće Jovanovića 76)
</t>
  </si>
  <si>
    <t>EduCentar Pro,</t>
  </si>
  <si>
    <t>2024.</t>
  </si>
  <si>
    <t>SRB2025 - 12</t>
  </si>
  <si>
    <t>DA</t>
  </si>
  <si>
    <t>Valjevo</t>
  </si>
  <si>
    <t>Isidora Bošković</t>
  </si>
  <si>
    <t>isidora.boskovic@ntcucenje.com</t>
  </si>
  <si>
    <t>valjevo@ntcucenje.com</t>
  </si>
  <si>
    <t>381652310595</t>
  </si>
  <si>
    <t>"Prva osnovna škola" Karađorđeva 122</t>
  </si>
  <si>
    <t>pr CONSULTING AGENCIJA MOZGALIĆI,</t>
  </si>
  <si>
    <t>Craft EDU</t>
  </si>
  <si>
    <t>SRB2025 - 18</t>
  </si>
  <si>
    <t>Brus</t>
  </si>
  <si>
    <t>Nadežda Mihajlović</t>
  </si>
  <si>
    <t>nadezda.mihajlovic@ntcucenje.com</t>
  </si>
  <si>
    <t>aleksandrovac@ntcucenje.com</t>
  </si>
  <si>
    <t>0600554271</t>
  </si>
  <si>
    <t>OŠ "Jovan Jovanović Zmaj", Bratislave Petrović 69</t>
  </si>
  <si>
    <t xml:space="preserve">Nadežda Mihajlović PR ostalo obrazovanje igrom do znanja </t>
  </si>
  <si>
    <t>2025.</t>
  </si>
  <si>
    <t>SRB2025 - 13</t>
  </si>
  <si>
    <t>Lajkovac</t>
  </si>
  <si>
    <t>Nataša Stefanović</t>
  </si>
  <si>
    <t>natasa.stefanovic@ntcucenje.com</t>
  </si>
  <si>
    <t>lajkovac@ntcucenje.com</t>
  </si>
  <si>
    <t>062511115</t>
  </si>
  <si>
    <t>OŠ “Mile Dubljević”</t>
  </si>
  <si>
    <t>Nataša Stefanović PR Ostalo obrazovanje EDU SMART LA,</t>
  </si>
  <si>
    <t>Nataša Stefanovic</t>
  </si>
  <si>
    <t>SRB2025 - 19</t>
  </si>
  <si>
    <t>Sremska Kamenica</t>
  </si>
  <si>
    <t>Tanja Naumovski</t>
  </si>
  <si>
    <t>tanja.naumovski@ntcucenje.com</t>
  </si>
  <si>
    <t>sremska.kamenica@ntcucenje.com</t>
  </si>
  <si>
    <t>tanja.naumovski85@gmail.com</t>
  </si>
  <si>
    <t>381603101493</t>
  </si>
  <si>
    <t>Branislava Bukurova 13, Sremska Kamenica</t>
  </si>
  <si>
    <t>PR Edukativni Centar Bistar Um</t>
  </si>
  <si>
    <t>SRB2025 - 26</t>
  </si>
  <si>
    <t xml:space="preserve">Mionica </t>
  </si>
  <si>
    <t>Ana Vujić</t>
  </si>
  <si>
    <t>ana.vujic@ntcucenje.com</t>
  </si>
  <si>
    <t>mionica@ntcucenje.com</t>
  </si>
  <si>
    <t>0656409175</t>
  </si>
  <si>
    <t>OŠ "Milan Rakić", Kneza Grbovića 31</t>
  </si>
  <si>
    <t>Ana Vujić PR EDU MIO,</t>
  </si>
  <si>
    <t>Ana Vujić, Jelica Maksimović</t>
  </si>
  <si>
    <t>oktobar 2024.</t>
  </si>
  <si>
    <t>SRB2025 - 14</t>
  </si>
  <si>
    <t xml:space="preserve">Lazarevac </t>
  </si>
  <si>
    <t>lazarevac@ntcucenje.com</t>
  </si>
  <si>
    <t>Nikole Vujačića, 3</t>
  </si>
  <si>
    <t>Kula</t>
  </si>
  <si>
    <t>Jana Rakočević</t>
  </si>
  <si>
    <t>jana.rakocevic@ntcucenje.com</t>
  </si>
  <si>
    <t>kula@ntcucenje.com</t>
  </si>
  <si>
    <t>381605951999</t>
  </si>
  <si>
    <t>OŠ "Petefi Brigada", 16. Divizije 34</t>
  </si>
  <si>
    <t>Infinitiv EDU</t>
  </si>
  <si>
    <t>SRB2025 - 09</t>
  </si>
  <si>
    <t>Novi Bečej</t>
  </si>
  <si>
    <t>Gordana Svilengaćin</t>
  </si>
  <si>
    <t>gordana.svilengacin@ntcucenje.com</t>
  </si>
  <si>
    <t>novi.becej@ntcucenje.com</t>
  </si>
  <si>
    <t>0638337536</t>
  </si>
  <si>
    <t>Narodna biblioteka Novi Bečej, Žarka Zrenjanina 9</t>
  </si>
  <si>
    <t>Centar za učenje, stvaranje i kulturu - Dositeum</t>
  </si>
  <si>
    <t>2022.</t>
  </si>
  <si>
    <t>SRB2025 - 15</t>
  </si>
  <si>
    <t>Kruševac</t>
  </si>
  <si>
    <t>Dragana Arsić</t>
  </si>
  <si>
    <r>
      <rPr>
        <sz val="12"/>
        <color rgb="FF222222"/>
        <rFont val="Roboto"/>
      </rPr>
      <t>dragana.a</t>
    </r>
    <r>
      <rPr>
        <sz val="12"/>
        <color rgb="FF000000"/>
        <rFont val="Roboto"/>
      </rPr>
      <t xml:space="preserve">rsic@ntcucenje.com </t>
    </r>
  </si>
  <si>
    <t>krusevac@ntcucenje.com</t>
  </si>
  <si>
    <t>nada.nedeljkovic@ntcucenje.com</t>
  </si>
  <si>
    <t>0649751399</t>
  </si>
  <si>
    <t>Deciji klub ” Bajka”, Takovska 25; OŠ ” Dragomir Markovic”,  Cirila i Metodija 3</t>
  </si>
  <si>
    <t>Edu centar 037</t>
  </si>
  <si>
    <t>SRB2025 - 20</t>
  </si>
  <si>
    <t>Inđija</t>
  </si>
  <si>
    <t>indjija@ntcucenje.com</t>
  </si>
  <si>
    <t>OŠ Jovan Popović, Kralja Petra Prvog 124;</t>
  </si>
  <si>
    <t>2020.</t>
  </si>
  <si>
    <t>Novi Sad</t>
  </si>
  <si>
    <t>Snežana Kovačević</t>
  </si>
  <si>
    <t>snezana.kovacevic@ntcucenje.com</t>
  </si>
  <si>
    <t>ns.radionice@ntcucenje.com</t>
  </si>
  <si>
    <t>0644056369</t>
  </si>
  <si>
    <t>NTC centar, Danila Kiša 7a, OŠ „Đorđe Natošević“, Radnička ulica, OŠ „Petefi Šandor“, Bore Prodanovića 15a, OŠ "Mika Antić", Dositejeva 15, Boho play and learn, Đerđa Molnara 2a</t>
  </si>
  <si>
    <t>Jana</t>
  </si>
  <si>
    <t>mart 2015.</t>
  </si>
  <si>
    <t>Batajnica</t>
  </si>
  <si>
    <t>batajnica@ntcucenje.com</t>
  </si>
  <si>
    <t>OŠ "Svetislav Golubović Mitraljeta", Dalmatinske zagore 94, Batajnica</t>
  </si>
  <si>
    <t>LMV edu</t>
  </si>
  <si>
    <t>2023.</t>
  </si>
  <si>
    <t>SRB2025 - 32</t>
  </si>
  <si>
    <t xml:space="preserve">Aleksandrovac </t>
  </si>
  <si>
    <t>OŠ "Aca Aleksić", Jaše Petrovića 6</t>
  </si>
  <si>
    <t>Velika Plana</t>
  </si>
  <si>
    <t>Ivana Božić</t>
  </si>
  <si>
    <t>ivana.bozic@ntcucenje.com</t>
  </si>
  <si>
    <t>velika.plana@ntcucenje.com</t>
  </si>
  <si>
    <t>0637534904</t>
  </si>
  <si>
    <t>Edukativno kreativni centar "Košnica", Ilije Garašanina 37</t>
  </si>
  <si>
    <t>Ivana Božić PR Košnica,</t>
  </si>
  <si>
    <t>Ivana Božić, Aleksandra Radenković</t>
  </si>
  <si>
    <t>SRB2025 - 16</t>
  </si>
  <si>
    <t>Aranđelovac</t>
  </si>
  <si>
    <t>Danijela Pavlićević</t>
  </si>
  <si>
    <t>danijela.pavlicevic@ntcucenje.com</t>
  </si>
  <si>
    <t>arandjelovac@ntcucenje.com</t>
  </si>
  <si>
    <t>0637486016</t>
  </si>
  <si>
    <t>PU "Duga", Vojvode Putnika 9,  OŠ "Milan Ilić Čiča", Knjaza Miloša 88</t>
  </si>
  <si>
    <t>TEC EDU</t>
  </si>
  <si>
    <t>SRB2025 - 21</t>
  </si>
  <si>
    <t>Užice</t>
  </si>
  <si>
    <t>Marija Ždero</t>
  </si>
  <si>
    <t>marija.zdero@ntcucenje.com</t>
  </si>
  <si>
    <t>uzice@ntcucenje.com</t>
  </si>
  <si>
    <t>marija@liverich.org</t>
  </si>
  <si>
    <t>0641222132</t>
  </si>
  <si>
    <t>OŠ "Kralja Petra II" - Dimitrija Tucovića 171</t>
  </si>
  <si>
    <t>Edukacija M. Marija Ždero</t>
  </si>
  <si>
    <t>SRB2025 - 27</t>
  </si>
  <si>
    <t>Šabac</t>
  </si>
  <si>
    <t>Mirjana Kuzmanović</t>
  </si>
  <si>
    <t>mirjana.plavsic@ntcucenje.com</t>
  </si>
  <si>
    <t>sabac@ntcucenje.com</t>
  </si>
  <si>
    <t>0612731526</t>
  </si>
  <si>
    <t>OŠ "Laza K. Lazarević", Masarikova 136</t>
  </si>
  <si>
    <t>Mirjana Plavšić</t>
  </si>
  <si>
    <t>SRB2025 - 22</t>
  </si>
  <si>
    <t>Smederevo</t>
  </si>
  <si>
    <t>Anica Stojanović</t>
  </si>
  <si>
    <t>anica.stojanovic@ntcucenje.com</t>
  </si>
  <si>
    <t>smederevo@ntcucenje.com</t>
  </si>
  <si>
    <t>063233321</t>
  </si>
  <si>
    <t>NTC Centar Smederevo Prote Mateje 20</t>
  </si>
  <si>
    <t>PR Stopalom na travi</t>
  </si>
  <si>
    <t>Ivana Todorić, Anica Stojanović</t>
  </si>
  <si>
    <t>SRB2025 - 17</t>
  </si>
  <si>
    <t>Beograd</t>
  </si>
  <si>
    <t>Marina Ilić</t>
  </si>
  <si>
    <t>marina.ilic@ntcucenje.com</t>
  </si>
  <si>
    <t>bg.radionice@ntcucenje.com</t>
  </si>
  <si>
    <t>marinailic222@gmail.com</t>
  </si>
  <si>
    <t>0652110015</t>
  </si>
  <si>
    <t>Zrenjanin</t>
  </si>
  <si>
    <t>Tea Topić</t>
  </si>
  <si>
    <t>tea.lanistanin.topic@ntcucenje.com</t>
  </si>
  <si>
    <t>zrenjanin@ntcucenje.com</t>
  </si>
  <si>
    <t>topictea@yahoo.com</t>
  </si>
  <si>
    <t>063580849</t>
  </si>
  <si>
    <t>NTC centar Zrenjanin (Edukativni centar”Smart teaching”) Bulevar Milutina Milankovića 19</t>
  </si>
  <si>
    <t>EDUKATIVNI CENTAR SMART TEACHING,</t>
  </si>
  <si>
    <t>Niš</t>
  </si>
  <si>
    <t>Marko Trajković</t>
  </si>
  <si>
    <t>marko.trajkovic@ntcucenje.com</t>
  </si>
  <si>
    <t>nis@ntcucenje.com</t>
  </si>
  <si>
    <t>ntcnis018@gmail.com</t>
  </si>
  <si>
    <t>0644901264</t>
  </si>
  <si>
    <t>Privatna predškolska ustanova Bambini, Episkopska 10</t>
  </si>
  <si>
    <t>Мarko Trajković PR CENTAR ZA EDUKACIJU Konstantin i Jelena Niš,</t>
  </si>
  <si>
    <t>SRB2025 - 23</t>
  </si>
  <si>
    <t>Kragujevac</t>
  </si>
  <si>
    <t>Adrijana Dokić Ristić</t>
  </si>
  <si>
    <t>adrijana.djokic.ristic@ntcucenje.com</t>
  </si>
  <si>
    <t>kragujevac@ntcucenje.com</t>
  </si>
  <si>
    <t>0637021817</t>
  </si>
  <si>
    <t>OŠ ""Moma Stanojlović" Kneza Mihaila 40, OŠ „Stanislav Sremčević“ , Laze Marinkovića 54</t>
  </si>
  <si>
    <t>Adrijana Đokić Ristić PR ostalo obrazovanje RADIONICE ZNANJA,</t>
  </si>
  <si>
    <t>Adrijana Đokić Ristić</t>
  </si>
  <si>
    <t>SRB2025 - 24</t>
  </si>
  <si>
    <t>Bečej</t>
  </si>
  <si>
    <t>0638337537</t>
  </si>
  <si>
    <t>Vrtić „Kolibri“ (PU „Labud Pejović“)Miloša Crnjanskog 72; OŠ „Sever Đurkić“ Zelena ulica 10</t>
  </si>
  <si>
    <t>Centar za učenje, stvaranje i kulturu — Dositeum</t>
  </si>
  <si>
    <t>Sremska Mitrovica</t>
  </si>
  <si>
    <t>Slavica Bobić</t>
  </si>
  <si>
    <t>slavica.bobic@ntcucenje.com</t>
  </si>
  <si>
    <t>sremska.mitrovica@ntcucenje.com</t>
  </si>
  <si>
    <t>ntcsremskamitrovica@gmail.com</t>
  </si>
  <si>
    <t>0642639489</t>
  </si>
  <si>
    <t>Centar za kreativni razvoj "Piccolo" SM, Stari šor br. 105</t>
  </si>
  <si>
    <t>SRB2025 - 28</t>
  </si>
  <si>
    <t>Beograd - BERC</t>
  </si>
  <si>
    <t>Milena Lalić</t>
  </si>
  <si>
    <t>berc@ntcucenje.com</t>
  </si>
  <si>
    <t>bgrazvojnicentar@gmail.com</t>
  </si>
  <si>
    <t>Beogradski razvojni centar Berc</t>
  </si>
  <si>
    <t>Topola</t>
  </si>
  <si>
    <t>topola@ntcucenje.com</t>
  </si>
  <si>
    <t>Gradska biblioteka "Radoje Domanović" , Avenija Kralja Petra, Topola</t>
  </si>
  <si>
    <t>Centar za edukaciju "TEC EDU",</t>
  </si>
  <si>
    <t>Čačak</t>
  </si>
  <si>
    <t>Jelena Vemić</t>
  </si>
  <si>
    <t>jelena.vemic@ntcucenje.com</t>
  </si>
  <si>
    <t>cacak@ntcucenje.com</t>
  </si>
  <si>
    <t>j.vemic@hotmail.rs</t>
  </si>
  <si>
    <t>0652272750</t>
  </si>
  <si>
    <t>Škola stranih jezika Blackbird, Cara Lazara 27</t>
  </si>
  <si>
    <t>AGENCIJA BLACKBIRD VASOJEVIĆ LJUBOMIR PREDUZETNIK ČAČAK,</t>
  </si>
  <si>
    <t>SRB2025 - 25</t>
  </si>
  <si>
    <t>Loznica</t>
  </si>
  <si>
    <t>Slađana Živković</t>
  </si>
  <si>
    <t>sladjana.zivkovic@ntcucenje.com</t>
  </si>
  <si>
    <t>loznica@ntcucenje.com</t>
  </si>
  <si>
    <t>sladjanapleroma@gmail.com</t>
  </si>
  <si>
    <t>0638001500</t>
  </si>
  <si>
    <t>Omladinski centar, Gimnazija, Trg Jovana Cvijića bb</t>
  </si>
  <si>
    <t>3.600.00</t>
  </si>
  <si>
    <t>Udruženje Centar za intelektualni razvoj dece</t>
  </si>
  <si>
    <t>SRB2025 - 30</t>
  </si>
  <si>
    <t>Subotica</t>
  </si>
  <si>
    <t>Danijela Đedović</t>
  </si>
  <si>
    <t>danijela.djedovic@ntcucenje.com</t>
  </si>
  <si>
    <t>subotica@ntcucenje.com</t>
  </si>
  <si>
    <t>danijela.djedovic@gmail.com</t>
  </si>
  <si>
    <t>0641246939</t>
  </si>
  <si>
    <t>Agencija za edukaciju Smart edu&amp;ca, Subotica, Partizanska 14/3</t>
  </si>
  <si>
    <t>Smart edu&amp;ca,</t>
  </si>
  <si>
    <t>Aleksandra Jarić</t>
  </si>
  <si>
    <t>SRB2025 - 31</t>
  </si>
  <si>
    <t>Kovin</t>
  </si>
  <si>
    <t>kovin@ntcucenje.com</t>
  </si>
  <si>
    <t>Bibliteka “Vuk Karadžić” Cara Lazara 100</t>
  </si>
  <si>
    <t xml:space="preserve"> </t>
  </si>
  <si>
    <t>maj 2025.</t>
  </si>
  <si>
    <t>Sombor</t>
  </si>
  <si>
    <t>sombor@ntcucenje.com</t>
  </si>
  <si>
    <t>Smart edu, Kralja Petra I / 16</t>
  </si>
  <si>
    <t>Borča</t>
  </si>
  <si>
    <t>borca@ntcucenje.com</t>
  </si>
  <si>
    <t>Vesela azbuka, Pabla Pikasa 2</t>
  </si>
  <si>
    <t>septembar 2025.</t>
  </si>
  <si>
    <t>Zemun</t>
  </si>
  <si>
    <t>zemun@ntcucenje.com</t>
  </si>
  <si>
    <t>OŠ ,,Sava Šumanović“ Dobanovački put 107, Altina; Produženi boravak Mali Akademac, Akademska 18, Produženi boravak ,,Oblak žirafa“, Romanijska 26</t>
  </si>
  <si>
    <t>Požarevac</t>
  </si>
  <si>
    <t>Ivana Branković</t>
  </si>
  <si>
    <t>ivana.brankovic@ntcucenje.com</t>
  </si>
  <si>
    <t>pozarevac@ntcucenje.com</t>
  </si>
  <si>
    <t>063 317025</t>
  </si>
  <si>
    <t>OŠ ,,Dositej Obradović“, Jovana Šerbanovića 10, Požarevac</t>
  </si>
  <si>
    <t>Ivana Branković PR ostalo obrazovanje Edu Centar 012 Požarevac</t>
  </si>
  <si>
    <t>SRB2025 - 03</t>
  </si>
  <si>
    <t>Novi Pazar</t>
  </si>
  <si>
    <t>Jelena Drobnjak</t>
  </si>
  <si>
    <t>jelena.drobnjak@ntcucenje.com</t>
  </si>
  <si>
    <t>novi.pazar@ntcucenje.com</t>
  </si>
  <si>
    <t>0649252565</t>
  </si>
  <si>
    <t>Dečiji centar Kreativko, Slava Raškovica 42, Deciji centar Kreativko Stevana Nemanje 196b</t>
  </si>
  <si>
    <t>Udruženje Dečiji centar Kreativko,</t>
  </si>
  <si>
    <t xml:space="preserve">Olga Milanović, Ivana Jovanović </t>
  </si>
  <si>
    <t>SRB2025 - 04</t>
  </si>
  <si>
    <t>Futog</t>
  </si>
  <si>
    <t>Branka Vukas Kovačević i Suzana Utješanović</t>
  </si>
  <si>
    <t>branka.vukas.kovacevic@ntcucenje.com   suzana.utjesanovic@ntcucenje.com</t>
  </si>
  <si>
    <t>futog@ntcucenje.com</t>
  </si>
  <si>
    <t>0603929889</t>
  </si>
  <si>
    <t>"NTC Futog", Sime Šolaje 52, Futog</t>
  </si>
  <si>
    <t>Edukativno-rehabilitacijsko Udruženje "Iskra"</t>
  </si>
  <si>
    <t>Suzana Utješanović, Branka Vukas Kovačević</t>
  </si>
  <si>
    <t>SRB2025 - 05</t>
  </si>
  <si>
    <t>Mladenovac</t>
  </si>
  <si>
    <t>Tanja Puškarić</t>
  </si>
  <si>
    <t>tanja.puskaric@ntcucenje.com</t>
  </si>
  <si>
    <t>mladenovac@ntcucenje.com</t>
  </si>
  <si>
    <t>0659995987</t>
  </si>
  <si>
    <t>OŠ "Momčilo Živojinović", Kralja Aleksandra Obrenovića 25, Mladenovac</t>
  </si>
  <si>
    <t>Centar za edukaciju Malac-ML</t>
  </si>
  <si>
    <t>SRB2025 - 06</t>
  </si>
  <si>
    <t>Boljevac</t>
  </si>
  <si>
    <t>Jasna Čigoja</t>
  </si>
  <si>
    <t>cigoja.jasna.70@gmail.com</t>
  </si>
  <si>
    <t>0621585235</t>
  </si>
  <si>
    <t>SRB2025 - 07</t>
  </si>
  <si>
    <t>vrbas@ntcucenje.com</t>
  </si>
  <si>
    <t>OŠ "Petar Petrović Njegoš"</t>
  </si>
  <si>
    <t xml:space="preserve">Zmajevo </t>
  </si>
  <si>
    <t>Nataša Kobilarov</t>
  </si>
  <si>
    <t>natasa.kobilarov@ntcucenje.com</t>
  </si>
  <si>
    <t>zmajevo@ntcucenje.com</t>
  </si>
  <si>
    <t>0654250406</t>
  </si>
  <si>
    <t>Ljubljana</t>
  </si>
  <si>
    <t>Slovenija</t>
  </si>
  <si>
    <t>Vanja Jovićević</t>
  </si>
  <si>
    <t>vanja.jovicevic@ntcucenje.com</t>
  </si>
  <si>
    <t>ljubljana@ntcucenje.com</t>
  </si>
  <si>
    <t>38641768440</t>
  </si>
  <si>
    <t>Goca</t>
  </si>
  <si>
    <t>Velenje</t>
  </si>
  <si>
    <t>Sebastijan Kukovec</t>
  </si>
  <si>
    <t>sebastjan.kukovec@ntcslovenija.com</t>
  </si>
  <si>
    <t>velenje@ntcucenje.com</t>
  </si>
  <si>
    <t>ntc.velenje@gmail.com</t>
  </si>
  <si>
    <t>38641513751</t>
  </si>
  <si>
    <t>Skoplje</t>
  </si>
  <si>
    <t>Severna Makedonija</t>
  </si>
  <si>
    <t>Sonja Stevkova</t>
  </si>
  <si>
    <t>sonja.stevkova@ntcucenje.com</t>
  </si>
  <si>
    <t>skopje@ntcucenje.com</t>
  </si>
  <si>
    <t>38976260750</t>
  </si>
  <si>
    <t>oktobar 2023.</t>
  </si>
  <si>
    <t>Hrvatska</t>
  </si>
  <si>
    <t>Dunja Stanković</t>
  </si>
  <si>
    <t>dunja.stankovic@ntchrvatska.com</t>
  </si>
  <si>
    <t>hrvatska@ntcucenje.com</t>
  </si>
  <si>
    <t xml:space="preserve">Sanja Perić </t>
  </si>
  <si>
    <t>sanja.peric@ntchrvatska.com</t>
  </si>
  <si>
    <t>tajnistvo@privatna.net</t>
  </si>
  <si>
    <t>00385 42 200 334</t>
  </si>
  <si>
    <t>Vinkovci mlađi uzr.</t>
  </si>
  <si>
    <t>Katarina Saračević</t>
  </si>
  <si>
    <t>katarina.saracevic91@gmail.com</t>
  </si>
  <si>
    <t>00385 99 671 9626</t>
  </si>
  <si>
    <t>Mirjana Džakula</t>
  </si>
  <si>
    <t>mirjana.dzakula@ntchrvatska.com</t>
  </si>
  <si>
    <t>vinkovci@ntcucenje.com</t>
  </si>
  <si>
    <t>mmarjancevic@gmail.com</t>
  </si>
  <si>
    <t>0038598688929</t>
  </si>
  <si>
    <t>Zagreb</t>
  </si>
  <si>
    <t>Osijek</t>
  </si>
  <si>
    <t>Sanja Kovačić</t>
  </si>
  <si>
    <t>sanja.kovacic@ntchrvatska.com</t>
  </si>
  <si>
    <t>osijek@ntcucenje.com</t>
  </si>
  <si>
    <r>
      <rPr>
        <u/>
        <sz val="12"/>
        <color rgb="FF1155CC"/>
        <rFont val="&quot;Arial&quot;,&quot;sans-serif&quot;"/>
      </rPr>
      <t>sanja.kovacic@pucko-uciliste.hr</t>
    </r>
  </si>
  <si>
    <t>00385 91 550 5327</t>
  </si>
  <si>
    <t>Rijeka</t>
  </si>
  <si>
    <t xml:space="preserve">Hrvatska </t>
  </si>
  <si>
    <t>Vera Medanić</t>
  </si>
  <si>
    <t>vera.medanic@ntchrvatska.com</t>
  </si>
  <si>
    <t>rijeka@ntcucenje.com</t>
  </si>
  <si>
    <t>medanicvera@gmail.com</t>
  </si>
  <si>
    <t>Bojana Starčević</t>
  </si>
  <si>
    <t>bojana.starcevic@ntchrvatska.com</t>
  </si>
  <si>
    <t>pula@ntchrvatska.com</t>
  </si>
  <si>
    <t>starcevic.bojana@gmail.com</t>
  </si>
  <si>
    <t>Split</t>
  </si>
  <si>
    <t xml:space="preserve">Branka Bonacin </t>
  </si>
  <si>
    <t>branka.bonacin@ntchrvatska.com</t>
  </si>
  <si>
    <t>split@ntcucenje.com</t>
  </si>
  <si>
    <t>Pazin</t>
  </si>
  <si>
    <t>Emili Stojimanov</t>
  </si>
  <si>
    <t>emili.stojimanov@ntchrvatska.com</t>
  </si>
  <si>
    <t>pazin@ntcucenje.com</t>
  </si>
  <si>
    <t>Bar</t>
  </si>
  <si>
    <t>Crna Gora</t>
  </si>
  <si>
    <t>Ivana Durutović</t>
  </si>
  <si>
    <t>ivana.durutovic@ntcucenje.com</t>
  </si>
  <si>
    <t>bar@ntcucenje.com</t>
  </si>
  <si>
    <t>svetionikbar@t-com.me</t>
  </si>
  <si>
    <t>38267628668</t>
  </si>
  <si>
    <t>PPU „Svetionik“</t>
  </si>
  <si>
    <t>Budva</t>
  </si>
  <si>
    <t>Marina Jovanović</t>
  </si>
  <si>
    <t>marina.jovanovic@ntcucenje.com</t>
  </si>
  <si>
    <t>budva@ntcucenje.com</t>
  </si>
  <si>
    <t>vrticvinipuu@gmail.com</t>
  </si>
  <si>
    <t>382 69 230 920</t>
  </si>
  <si>
    <t>PPU „Vini Pu“</t>
  </si>
  <si>
    <t>septembar 2018.</t>
  </si>
  <si>
    <t xml:space="preserve">Kotor </t>
  </si>
  <si>
    <t>Tanja Popović</t>
  </si>
  <si>
    <t>tanja.popovic@ntcucenje.com</t>
  </si>
  <si>
    <t>kotor@ntcucenje.com</t>
  </si>
  <si>
    <t>tanjapopovic24@gmail.com</t>
  </si>
  <si>
    <t>38269477507</t>
  </si>
  <si>
    <t>PPU „Osmijeh“, Dobrota 18 Mecerov brijeg</t>
  </si>
  <si>
    <t>Nikšić</t>
  </si>
  <si>
    <t xml:space="preserve">Olivera Bulajić </t>
  </si>
  <si>
    <t>olivera.bulajic@ntcucenje.com</t>
  </si>
  <si>
    <t>niksic@ntcucenje.com</t>
  </si>
  <si>
    <t>olivera.bulajic.2000@gmail.com</t>
  </si>
  <si>
    <t>38269189492</t>
  </si>
  <si>
    <t>PPU „MONTESORI ZVONO“, Nikca od Rovina 32</t>
  </si>
  <si>
    <t>Podgorica</t>
  </si>
  <si>
    <t>Radmila Andrić</t>
  </si>
  <si>
    <t>radmila.andric@ntcucenje.com</t>
  </si>
  <si>
    <t>podgorica@ntcucenje.com</t>
  </si>
  <si>
    <t>radmila.andric76@gmail.com</t>
  </si>
  <si>
    <t>38267257479</t>
  </si>
  <si>
    <t>PPU „ARTIĆ PINOKIO“, Arsenija Boljevića 41, PPU „ARTIĆ PINOKIO“, Stari Aerodrom, Miodraga Bulatovića 8</t>
  </si>
  <si>
    <t>Banja Luka</t>
  </si>
  <si>
    <t>BiH</t>
  </si>
  <si>
    <t>Tatjana Keleč Oxford</t>
  </si>
  <si>
    <t>tatjana.kelec@ntcucenje.com</t>
  </si>
  <si>
    <t>banjaluka@ntcucenje.com</t>
  </si>
  <si>
    <t>oecoffice1@gmail.com</t>
  </si>
  <si>
    <t>38765333335</t>
  </si>
  <si>
    <t>OŠ "Vuk Karadžić", Save Kovačevića</t>
  </si>
  <si>
    <t>april 2016.</t>
  </si>
  <si>
    <t>Bijeljina</t>
  </si>
  <si>
    <t>Dragana Vesić</t>
  </si>
  <si>
    <t>dragana.vesic@ntcucenje.com</t>
  </si>
  <si>
    <t>bijeljina@ntcucenje.com</t>
  </si>
  <si>
    <t>dragana.vesic95@gmail.com</t>
  </si>
  <si>
    <t>38169401408</t>
  </si>
  <si>
    <t>Pedagoški fakultet, Semberskih ratara 1E, Bijeljina</t>
  </si>
  <si>
    <t>Gradiška</t>
  </si>
  <si>
    <t>38765333338</t>
  </si>
  <si>
    <t>Vrtić " Plava Zvezda", Atinska bb</t>
  </si>
  <si>
    <t>Pale</t>
  </si>
  <si>
    <t>Ivana Savić</t>
  </si>
  <si>
    <t>ivana.savic@ntcucenje.com</t>
  </si>
  <si>
    <t>pale@ntcucenje.com</t>
  </si>
  <si>
    <t>ntccentar.istocnosarajevo@gmail.com, vrtic.cvrcak@yahoo.com</t>
  </si>
  <si>
    <t>38764070004</t>
  </si>
  <si>
    <t>Prnjavor</t>
  </si>
  <si>
    <t>38765333336</t>
  </si>
  <si>
    <t>Centar za kulturu, Beogradska 7</t>
  </si>
  <si>
    <t>Sokolac</t>
  </si>
  <si>
    <t>Boban Beatović</t>
  </si>
  <si>
    <t>boban.beatovic@ntcucenje.com</t>
  </si>
  <si>
    <t>sokolac@ntcucenje.com</t>
  </si>
  <si>
    <t>beatovicboban@gmail.com</t>
  </si>
  <si>
    <t>065992 257</t>
  </si>
  <si>
    <t>Jezički centar „IN-3“, Omladinska 1, Sokolac</t>
  </si>
  <si>
    <t>Rogatica</t>
  </si>
  <si>
    <t>Jelena Šuvira</t>
  </si>
  <si>
    <t>jelena.suvira@ntcucenje.com</t>
  </si>
  <si>
    <t>brcko@ntcucenje.com</t>
  </si>
  <si>
    <t>38766623414</t>
  </si>
  <si>
    <t>Istočno Sarajevo</t>
  </si>
  <si>
    <t>Aleksandra Milinković</t>
  </si>
  <si>
    <t>aleksandra.milinkovic@ntcucenje.com</t>
  </si>
  <si>
    <t>istocno.sarajevo@ntcucenje.com</t>
  </si>
  <si>
    <t xml:space="preserve">czjo.gate@gmail.com </t>
  </si>
  <si>
    <t>38763032249</t>
  </si>
  <si>
    <t>USA</t>
  </si>
  <si>
    <t>Ivana Ilić</t>
  </si>
  <si>
    <t>ivana.najdanovic.ilic@ntclearning.com</t>
  </si>
  <si>
    <t>ntcchicago@ntclearning.com</t>
  </si>
  <si>
    <t>ivana1najdanovic@gmail.com</t>
  </si>
  <si>
    <t>Prijedor</t>
  </si>
  <si>
    <t>38765333337</t>
  </si>
  <si>
    <t>OŠ "Branko Ćopić", Rudnička br. 13</t>
  </si>
  <si>
    <t xml:space="preserve">Srbac </t>
  </si>
  <si>
    <t>38765333339</t>
  </si>
  <si>
    <t>6</t>
  </si>
  <si>
    <t>Broj dece na startu tekuće školske godine (novembar)</t>
  </si>
  <si>
    <t>Broj dece na polugodištu tekuće školske godine (februar)</t>
  </si>
  <si>
    <t xml:space="preserve">Broj stanovnika </t>
  </si>
  <si>
    <t>Ekonomsko-trgovinska škola, Braće Tan 1, Bečej</t>
  </si>
  <si>
    <t>Aleksandra Bukovica</t>
  </si>
  <si>
    <t>aleksandra.bukovica@ntcucenje.com</t>
  </si>
  <si>
    <t>0641803767</t>
  </si>
  <si>
    <t>BERC -Ilije Stojadinovića 16, EC Mućkalica - Zrmanjska 4, OŠ "Đorđe Krstić" Živka Nastića Babe 12, OŠ "Nikola Tesla " Dr Milivoja Petrovića 6; PU T&amp; T Miladina Petrovića 25</t>
  </si>
  <si>
    <t>PU Naša Radost, Trg Žarka Zrenjanina 10, Kovin</t>
  </si>
  <si>
    <t>Vrtić "Maslačak" , Ive Lole Ribara 41; OŠ"Dr Jovan Cvijić", 7.jula 10</t>
  </si>
  <si>
    <t>OŠ ""Moma Stanojlović" Kneza Mihaila 40,</t>
  </si>
  <si>
    <t>PU "Duga", Vojvode Putnika 9, OŠ "Sveti Sava" Han Pjeska bb, OŠ "Milan Ilić Čiča", Knjaza Miloša 88</t>
  </si>
  <si>
    <t>Edukativni centar "Znanje plus", Kneza Mihaila 11</t>
  </si>
  <si>
    <t>Dom kulture opštine Novi Bečej,Trg oslobođenja bb</t>
  </si>
  <si>
    <r>
      <rPr>
        <sz val="12"/>
        <color rgb="FF222222"/>
        <rFont val="Roboto"/>
      </rPr>
      <t>dragana.a</t>
    </r>
    <r>
      <rPr>
        <sz val="12"/>
        <color rgb="FF000000"/>
        <rFont val="Roboto"/>
      </rPr>
      <t xml:space="preserve">rsic@ntcucenje.com </t>
    </r>
  </si>
  <si>
    <t>Oš„Dragomir Marković“, Ćirila i Metodija 3; Igraonica "Čarolija", Kosovska 111</t>
  </si>
  <si>
    <t>OŠ Jovan Popović, Kralja Petra Prvog 124; OŠ Dušan Jerković, Dušana Jerkovića 1; Vrtić Bambini, Jug Bogdana, 44 Inđija</t>
  </si>
  <si>
    <t>Kafe igraonica „Play“, Vladike Nikolaja 5</t>
  </si>
  <si>
    <t>Dom omladine, Svetog Save 10</t>
  </si>
  <si>
    <t>Tatjana  Keleč</t>
  </si>
  <si>
    <t>Tatjana - Oxford</t>
  </si>
  <si>
    <t>Ivana Cvrčak</t>
  </si>
  <si>
    <t>ntccentar.istocnosarajevo@gmail.com</t>
  </si>
  <si>
    <t>NTC sekcija i pokretanje novih NTC centara</t>
  </si>
  <si>
    <t>Mesto</t>
  </si>
  <si>
    <t>Lice zaduženo za realizaciju</t>
  </si>
  <si>
    <t>Kontakt telefon</t>
  </si>
  <si>
    <t>E-mail adresa kontakt osobe</t>
  </si>
  <si>
    <t>Poslat pravilnik za NTC centre</t>
  </si>
  <si>
    <t>Potvrdili da žele da započnu proceduru pokretanja NTC Centra</t>
  </si>
  <si>
    <t>Poslat Ugovor i potvrda za predstavnika za NTC Sekciju</t>
  </si>
  <si>
    <t>Dostavljen potpisan Ugovor na overu i poslat njima nazad</t>
  </si>
  <si>
    <t>Poslat materijal za rad za NTC Sekciju</t>
  </si>
  <si>
    <t>Naziv škole u kojoj se realizuje NTC sekcija</t>
  </si>
  <si>
    <t>Adresa škole</t>
  </si>
  <si>
    <t>Datum početka NTC Sekcije:</t>
  </si>
  <si>
    <t>Datum završetka NTC Sekcije:</t>
  </si>
  <si>
    <t>Razred / br učenika</t>
  </si>
  <si>
    <t>Poslate diplome za učenike i realizatore NTC Sekcije</t>
  </si>
  <si>
    <t>Dostavljen izveštaj sa NTC Sekcije</t>
  </si>
  <si>
    <t>Održan sastanak sa koordinatorom u vezi pokretanja NTC Centra</t>
  </si>
  <si>
    <t>Da li se otvara NTC centar</t>
  </si>
  <si>
    <t>Poslati ugovori za autorizaciju i stručnu podršku</t>
  </si>
  <si>
    <t>Dostavljeni potpisani ugovori</t>
  </si>
  <si>
    <t>Napravljena i poslata mail adresa za NTC Centar i koordinatora</t>
  </si>
  <si>
    <t>Napravljen folder NTC Centra na Drive</t>
  </si>
  <si>
    <t xml:space="preserve">Poslat mail i link do foldera NTC Centri </t>
  </si>
  <si>
    <t>Poslat mail i link do foldera NTC Centri - opšte informacije</t>
  </si>
  <si>
    <t>Postavljena stranica NTC Centra na sajt</t>
  </si>
  <si>
    <t>Otvorene društvene mreže</t>
  </si>
  <si>
    <t>Poslati (free) Plakat/flajeri</t>
  </si>
  <si>
    <t>Prva (free) reklama na društvenim mrežama</t>
  </si>
  <si>
    <t>Poslat start paket</t>
  </si>
  <si>
    <t xml:space="preserve">Dostavljen popunjen dokument Podaci za start godine </t>
  </si>
  <si>
    <t>Urađena i poslata Upisna PF</t>
  </si>
  <si>
    <t>Završeno pokretanje NTC centra/ podaci prebačeni u tabelu NTC Centri</t>
  </si>
  <si>
    <t>Napomene</t>
  </si>
  <si>
    <t>Arilje</t>
  </si>
  <si>
    <t>Andrijana Antonijević Arsić</t>
  </si>
  <si>
    <t>andrijanaantonijevic2@gmail.com</t>
  </si>
  <si>
    <t xml:space="preserve">Andrijana Antonijevič Arsi će biti koordinator, na specijalizaciji je Nikolina Ignjatović koju završava krajem decembra 2025. </t>
  </si>
  <si>
    <t>Kraljevo</t>
  </si>
  <si>
    <t>Angelika Pavlović</t>
  </si>
  <si>
    <t xml:space="preserve">Angelika Pavlović će biti koordinator, na specijalizaciji je Sanja Bižić koju završava krajem decembra 2025. </t>
  </si>
  <si>
    <t>OŠ"Sveti  Sava"</t>
  </si>
  <si>
    <t>Nemanjina 1</t>
  </si>
  <si>
    <t>II razred / 27 učenika</t>
  </si>
  <si>
    <t>Mostar</t>
  </si>
  <si>
    <t>Jelena Ćorić</t>
  </si>
  <si>
    <t>jelena.chz@gmail.com</t>
  </si>
  <si>
    <t>završila specijalizaciju u junu 2024.</t>
  </si>
  <si>
    <t>OŠ"Cim Mostar"</t>
  </si>
  <si>
    <t>3. bojne cimske bb, Cim, Mostar</t>
  </si>
  <si>
    <t>4 razred / 10 učenika</t>
  </si>
  <si>
    <t>Sisak</t>
  </si>
  <si>
    <t>CRO</t>
  </si>
  <si>
    <t xml:space="preserve">Lahorka Drčić </t>
  </si>
  <si>
    <t>drcic.lahorka@gmail.com</t>
  </si>
  <si>
    <t>završila specijalizaciju u junu 2025.</t>
  </si>
  <si>
    <t>Petrovaradin</t>
  </si>
  <si>
    <t>Snežana Radisavljević</t>
  </si>
  <si>
    <t>snezana.radisavljevic@ntcucenje.com</t>
  </si>
  <si>
    <t>OŠ "Jovan Dučić"</t>
  </si>
  <si>
    <t>Preradovićeva 6</t>
  </si>
  <si>
    <t>Lice zaduženo za realizaciju NTC Sekcije</t>
  </si>
  <si>
    <t>Zvanična mail adresa NTC centra/škole</t>
  </si>
  <si>
    <t>Poslat pravilnik za NTC sekciju</t>
  </si>
  <si>
    <t>Samo NTC sekcija, bez pokretanja radionica:</t>
  </si>
  <si>
    <t>Pambukovica/Ub</t>
  </si>
  <si>
    <t>Marija Vujisić, master učitelj</t>
  </si>
  <si>
    <t>0694399953</t>
  </si>
  <si>
    <t>maruska.mara88@gmail.com</t>
  </si>
  <si>
    <t>OŠ "Sveti Sava"</t>
  </si>
  <si>
    <t>Nema adrese bb, Pambukovica</t>
  </si>
  <si>
    <t>15 učenika</t>
  </si>
  <si>
    <t>Marija Jovanović i Nela Maksimović</t>
  </si>
  <si>
    <t>nela.maksimovic@osjovanmiodragovic.edu.rs</t>
  </si>
  <si>
    <t>ppsluzba@osjovanmiodragovic.edu.rs</t>
  </si>
  <si>
    <t>OŠ Jovan Miodragović</t>
  </si>
  <si>
    <t>Vojvode Dragomira 1, Beograd</t>
  </si>
  <si>
    <t>Banja Koviljača</t>
  </si>
  <si>
    <t>Snežana Cvetinović</t>
  </si>
  <si>
    <t>ucsnezana@gmail.com</t>
  </si>
  <si>
    <t>OŠ"Vera Blagojević"</t>
  </si>
  <si>
    <t>Vare Blagojević 1, Banja Koviljača</t>
  </si>
  <si>
    <t>Rb</t>
  </si>
  <si>
    <t>Ime i prezime</t>
  </si>
  <si>
    <t>Mail</t>
  </si>
  <si>
    <t>Status centra (aktivan/probni ciklus/sekcija/zatvoren centar/na obuci)</t>
  </si>
  <si>
    <t>Popunjen upitnik</t>
  </si>
  <si>
    <t>Prvi online sastanak prisustvao</t>
  </si>
  <si>
    <t>Drugi online sastanak prisustvao</t>
  </si>
  <si>
    <t>Andjela Rajović</t>
  </si>
  <si>
    <t>andjelarajovic01@gmail.com</t>
  </si>
  <si>
    <t xml:space="preserve">Na obuci </t>
  </si>
  <si>
    <t>Maja Zorić</t>
  </si>
  <si>
    <t>maja.propadovic@gmail.com</t>
  </si>
  <si>
    <t xml:space="preserve">Ruma </t>
  </si>
  <si>
    <t>Miloš Pećanin</t>
  </si>
  <si>
    <t>milos.pecanin@yahoo.com</t>
  </si>
  <si>
    <t>Nemačka</t>
  </si>
  <si>
    <t>Burgthann</t>
  </si>
  <si>
    <t>Nebojša Sekulić</t>
  </si>
  <si>
    <t>nebojsasekulic.81@gmail.com</t>
  </si>
  <si>
    <t>Trebinje</t>
  </si>
  <si>
    <t xml:space="preserve">Arilje </t>
  </si>
  <si>
    <t>Tanja Đurđić</t>
  </si>
  <si>
    <t>savictt@yahoo.com</t>
  </si>
  <si>
    <t>Doboj</t>
  </si>
  <si>
    <t>Tanja Tomić</t>
  </si>
  <si>
    <t>tanjaotasevic05@gmail.com</t>
  </si>
  <si>
    <t xml:space="preserve">Srbija </t>
  </si>
  <si>
    <t>Zaječar</t>
  </si>
  <si>
    <t>Željka Draganić</t>
  </si>
  <si>
    <t>zeljka.d10@gmail.com</t>
  </si>
  <si>
    <t>Novska</t>
  </si>
  <si>
    <t>Vesna Starčević Kalezić</t>
  </si>
  <si>
    <t>vesnajevesna@gmail.com</t>
  </si>
  <si>
    <t>Obrenovac</t>
  </si>
  <si>
    <t>Završila obuku</t>
  </si>
  <si>
    <t>Ivana Mirkov Ninčić</t>
  </si>
  <si>
    <t>ivanavmirkov@gmail.com</t>
  </si>
  <si>
    <t>Senta</t>
  </si>
  <si>
    <t>Prvi put nije popunila upitnik, niti je prisustvovala sastancima</t>
  </si>
  <si>
    <t>Andjela Ivanović</t>
  </si>
  <si>
    <t>andjela.ljig@gmail.com</t>
  </si>
  <si>
    <t xml:space="preserve">Ljig </t>
  </si>
  <si>
    <t>Već je prisustvovala sastancima</t>
  </si>
  <si>
    <t>Tijana Marinkovic</t>
  </si>
  <si>
    <t>lajaviedisa@yahoo.com</t>
  </si>
  <si>
    <t>Cres/Lošinj</t>
  </si>
  <si>
    <t>Milena Jovanović</t>
  </si>
  <si>
    <t>milena.milojevic@hotmail.com</t>
  </si>
  <si>
    <t>Paraćin</t>
  </si>
  <si>
    <t>Martina Stojčević</t>
  </si>
  <si>
    <t>josipovic.martina@gmail.com</t>
  </si>
  <si>
    <t>Švajcarska</t>
  </si>
  <si>
    <t>Thalwil</t>
  </si>
  <si>
    <t>Radena Lončar</t>
  </si>
  <si>
    <t>radena.loncar@beska.edu.rs</t>
  </si>
  <si>
    <t xml:space="preserve">Beška </t>
  </si>
  <si>
    <t>Prvi put je popunila upitnik, ali nije prisustvovala sastancima</t>
  </si>
  <si>
    <t>Mirjana Zdravkovic</t>
  </si>
  <si>
    <t>mirjanazdravkovic92@gmail.com</t>
  </si>
  <si>
    <t>Norveška</t>
  </si>
  <si>
    <t>Planteskoleveien</t>
  </si>
  <si>
    <t>prisustvovala jednom sastanku o pokretanju NTC Centra, nije popunila upitnik</t>
  </si>
  <si>
    <t>Sonja Jovanovska</t>
  </si>
  <si>
    <t>sonja.jovanovska.cid@gmail.com</t>
  </si>
  <si>
    <t>Grčka</t>
  </si>
  <si>
    <t>Atina/Kumanovo</t>
  </si>
  <si>
    <t xml:space="preserve">bila na sastancima za pokretanje NTC Centra u maju 2025. rekla da bi počela sa radom u 2026 </t>
  </si>
  <si>
    <t>Antonija Novoselac</t>
  </si>
  <si>
    <t>dianohn@gmail.com</t>
  </si>
  <si>
    <t>Herceg Novi</t>
  </si>
  <si>
    <r>
      <rPr>
        <b/>
        <sz val="12"/>
        <color theme="1"/>
        <rFont val="Arial"/>
      </rPr>
      <t>Status centra</t>
    </r>
    <r>
      <rPr>
        <b/>
        <sz val="9"/>
        <color theme="1"/>
        <rFont val="Arial"/>
      </rPr>
      <t xml:space="preserve"> (aktivan/probni ciklus/sekcija/zatvoren centar/na obuci)</t>
    </r>
  </si>
  <si>
    <t>Prvi online sastanak 22.04. prisustvo</t>
  </si>
  <si>
    <t>Drugi online sastanak 29.04. prisustvo</t>
  </si>
  <si>
    <t>ivana.avmarket@gmail.com</t>
  </si>
  <si>
    <t>Na obuci</t>
  </si>
  <si>
    <t xml:space="preserve">obavljen individualni sastanak  </t>
  </si>
  <si>
    <t>Ivana Jovanović</t>
  </si>
  <si>
    <t>ivanajovanovicnp86@gmail.com</t>
  </si>
  <si>
    <t>Jelena Drobnjak bi bila koordinator kreativkonp@gmail.com</t>
  </si>
  <si>
    <t>Ivana Đorđević</t>
  </si>
  <si>
    <t>dailoskiivana@gmail.com</t>
  </si>
  <si>
    <t>Tanja Puškarić bi bila koordinator puskaric.t@gmail.com / obavljen ind. sastanak</t>
  </si>
  <si>
    <t>Olga Milanović Mrlješ</t>
  </si>
  <si>
    <t>olga.milanovic97@gmail.com</t>
  </si>
  <si>
    <t>na porodiljskom</t>
  </si>
  <si>
    <t>Sandra Bešlagić</t>
  </si>
  <si>
    <t>sandrabeslagic@gmail.com</t>
  </si>
  <si>
    <t>Bosna i Hercegovina</t>
  </si>
  <si>
    <t>Tuzla</t>
  </si>
  <si>
    <t>Vuk rekao da se ne šalje</t>
  </si>
  <si>
    <t>NIJE POSLAT UPITNIK</t>
  </si>
  <si>
    <t>czjo.gate@gmail.com</t>
  </si>
  <si>
    <t xml:space="preserve">Istočno Sarajevo </t>
  </si>
  <si>
    <t>Marija Dugeč</t>
  </si>
  <si>
    <t>marija.mijatovic77@gmail.com</t>
  </si>
  <si>
    <t>Otok</t>
  </si>
  <si>
    <t xml:space="preserve">Dora Špoljarić </t>
  </si>
  <si>
    <t>dorica363@gmail.com</t>
  </si>
  <si>
    <t>stojimanovemili@gmail.com</t>
  </si>
  <si>
    <t>vegor.consulting@gmail.com</t>
  </si>
  <si>
    <t>branka.bonacin@gmail.com</t>
  </si>
  <si>
    <t>koordinator</t>
  </si>
  <si>
    <t>Inga Knežić</t>
  </si>
  <si>
    <t>ikingainga@gmail.com</t>
  </si>
  <si>
    <t>predavač ?</t>
  </si>
  <si>
    <t>Antonija Wurzberg</t>
  </si>
  <si>
    <t>antonija.wurzberg@gmail.com</t>
  </si>
  <si>
    <t>Sibinj</t>
  </si>
  <si>
    <t>Nikolina Petrovska</t>
  </si>
  <si>
    <t>nikolina.atanasova93@gmail.com</t>
  </si>
  <si>
    <t>Makedonija</t>
  </si>
  <si>
    <t>Vinica</t>
  </si>
  <si>
    <t xml:space="preserve">Katerina Orachka </t>
  </si>
  <si>
    <t>orachkakate@gmail.com</t>
  </si>
  <si>
    <t xml:space="preserve">Kočani </t>
  </si>
  <si>
    <t>Nastavlja sa specijalizacijom u septembru</t>
  </si>
  <si>
    <t>Anja Marinković</t>
  </si>
  <si>
    <t>linda4lane@gmail.com</t>
  </si>
  <si>
    <t>SAD, Indijana</t>
  </si>
  <si>
    <t>Crown Point</t>
  </si>
  <si>
    <t>Danijela Puđa</t>
  </si>
  <si>
    <t>djanacek984@gmail.com</t>
  </si>
  <si>
    <t>Vršac</t>
  </si>
  <si>
    <t>nije zainteresovana za otvaranje NTC Centra</t>
  </si>
  <si>
    <t>Marija Stijaković</t>
  </si>
  <si>
    <t>marijakecman@yahoo.com</t>
  </si>
  <si>
    <t>Tatjana Dabić</t>
  </si>
  <si>
    <t>tatjanahodi@yahoo.com</t>
  </si>
  <si>
    <t>Austrija</t>
  </si>
  <si>
    <t>Beč</t>
  </si>
  <si>
    <t>Katarina Tričković Vidaković</t>
  </si>
  <si>
    <t>ktrickovicvidakovic@yahoo.com</t>
  </si>
  <si>
    <t>Vanja Tošić</t>
  </si>
  <si>
    <t>tosicvanja@gmail.com</t>
  </si>
  <si>
    <t>Španija</t>
  </si>
  <si>
    <t>Milja Vrsajkov-Uracs</t>
  </si>
  <si>
    <t>milja.vru@gmail.com</t>
  </si>
  <si>
    <t>Mađarska</t>
  </si>
  <si>
    <t>Budimpešta</t>
  </si>
  <si>
    <t>Vuk kontaktirao sa njom šalje na mail info / poslat upitnik i poziv na sastanak</t>
  </si>
  <si>
    <t>Vera Orlović Vandijck</t>
  </si>
  <si>
    <t>weca.bgd@gmail.com</t>
  </si>
  <si>
    <t>Belgija</t>
  </si>
  <si>
    <t>Tienen</t>
  </si>
  <si>
    <t>Sanela Horvatić Vuk</t>
  </si>
  <si>
    <t>sanela.horvatic@gmail.com</t>
  </si>
  <si>
    <t>Prelog ( te bih tako pokrila regiju Međimurske te susjedne Koprivnilke regije/ županije)</t>
  </si>
  <si>
    <t>Dunja dala kontak</t>
  </si>
  <si>
    <t>Pula</t>
  </si>
  <si>
    <t>Jelena Rašić</t>
  </si>
  <si>
    <t>jelena.rasic@idejomat.hr</t>
  </si>
  <si>
    <t>Općina Brdovec, kraj Zaprešića</t>
  </si>
  <si>
    <t>PROBNI CIKLUS</t>
  </si>
  <si>
    <t>Poslat pravilnik za Obuku za pokretanje NTC centra</t>
  </si>
  <si>
    <t>Potvrdili da žele da započnu obuku</t>
  </si>
  <si>
    <t>Poslat Ugovor i potvrda za predstavnika i opet Pravilnik</t>
  </si>
  <si>
    <t>Stigao nama Ugovor na overu i poslat njima nazad</t>
  </si>
  <si>
    <t>Poslat materijal za rad</t>
  </si>
  <si>
    <t>Naziv škole</t>
  </si>
  <si>
    <t>Datum slanja mejla (sa info o NTC sekciji)</t>
  </si>
  <si>
    <t xml:space="preserve">Ugovor potpisan
</t>
  </si>
  <si>
    <t>Trajenje sekcije od:</t>
  </si>
  <si>
    <t>Trajenje sekcije do:</t>
  </si>
  <si>
    <t>Poslate potvrde</t>
  </si>
  <si>
    <t>Izveštaj</t>
  </si>
  <si>
    <t>Da li se otvara centar</t>
  </si>
  <si>
    <t>Poslat Pravilnik za potencijalne NTC centre</t>
  </si>
  <si>
    <t>Prvi sastanak uneti datum</t>
  </si>
  <si>
    <t>Poslat Korak 2</t>
  </si>
  <si>
    <t>Realizovali KORAK 2</t>
  </si>
  <si>
    <t xml:space="preserve">Lokacija </t>
  </si>
  <si>
    <t>Poslat Plakat/flajeri</t>
  </si>
  <si>
    <t>Isplaćen prostor, uneti isnos i datum isplate
I MESEC</t>
  </si>
  <si>
    <t>Isplaćen prostor, uneti isnos i datum isplate
II MESEC</t>
  </si>
  <si>
    <t>Drugi sastanak 20.03.2024.</t>
  </si>
  <si>
    <t>Poslat Korak 3</t>
  </si>
  <si>
    <t>Popunili NTC potencijalan centar - Tabela 1</t>
  </si>
  <si>
    <t>Poslata Uni PF</t>
  </si>
  <si>
    <t>Poslata Upisna PF</t>
  </si>
  <si>
    <t>Treći sastanak sa Višnjom</t>
  </si>
  <si>
    <t>Poslat Upitnik za radne sveske</t>
  </si>
  <si>
    <t xml:space="preserve"> Poslate Radne sveske start paket</t>
  </si>
  <si>
    <t>Poslate pripreme</t>
  </si>
  <si>
    <t>Potvrda prijave i instrukcije za uplatu</t>
  </si>
  <si>
    <t>Start probnog ciklusa, uneti datum</t>
  </si>
  <si>
    <t>Završeno pokretanje NTC centra</t>
  </si>
  <si>
    <t>Završila spec. pauza do aprila 2025., kada će se odlučiti da li nastavlja</t>
  </si>
  <si>
    <t>OŠ "Jovan Jovanović Zmaj",</t>
  </si>
  <si>
    <t>Školska 3, Kamenica</t>
  </si>
  <si>
    <t>15x2, III i IV razred</t>
  </si>
  <si>
    <t>DA, sve</t>
  </si>
  <si>
    <t>0652310595</t>
  </si>
  <si>
    <t>isidoraboskovic96@gmail.com</t>
  </si>
  <si>
    <t>Završila spec</t>
  </si>
  <si>
    <t>OŠ “Andra Savčić”</t>
  </si>
  <si>
    <t>Jovana Dučića br. 5, 14000 Valjevo</t>
  </si>
  <si>
    <t>III i IV, 25 učenika</t>
  </si>
  <si>
    <t>"Prva osnovna škola" Karađorđeva 122, Valjevo</t>
  </si>
  <si>
    <t>Branislava Cucić Topalov
Violeta Cvijić</t>
  </si>
  <si>
    <t>0644055588</t>
  </si>
  <si>
    <t>branislava.skola@gmail.com</t>
  </si>
  <si>
    <t>Završila spec. 4 dece besplatno zbog pobede na kvizu. Proveriti sa Marinom Z. da li jedno polugodište ili cela školska godina</t>
  </si>
  <si>
    <t>OŠ "Isidora Sekulić"</t>
  </si>
  <si>
    <t>Petra Drapšina 56, 21244 Šajkaš</t>
  </si>
  <si>
    <t>I do V, 20-25 učenika</t>
  </si>
  <si>
    <t>OŠ "Isidora Sekulić" Petra Drapšina 56, Šajkaš</t>
  </si>
  <si>
    <t>0646593371</t>
  </si>
  <si>
    <t>nkskola@yahoo.com</t>
  </si>
  <si>
    <t>OŠ "J.J.Zmaj"</t>
  </si>
  <si>
    <t>Kralja Petra I Karađorđevića 13</t>
  </si>
  <si>
    <t>OŠ "J.J.Zmaj" Kralja Petra I Karađorđevića 13</t>
  </si>
  <si>
    <t>koordinator Aleksandrovca</t>
  </si>
  <si>
    <t>OŠ "Jovan Jovanović Zmaj", Bratislave Perović 69, Brus</t>
  </si>
  <si>
    <t>Nataša Lazarević</t>
  </si>
  <si>
    <t>koordinator Lazarevca</t>
  </si>
  <si>
    <t xml:space="preserve">Kovin </t>
  </si>
  <si>
    <t>koordinator Pančeva</t>
  </si>
  <si>
    <t>OŠ "Đura Jakšić"</t>
  </si>
  <si>
    <t>JNA 34, Kovin</t>
  </si>
  <si>
    <t>od sept 2025.</t>
  </si>
  <si>
    <t>Krenula na specijalizaciju u septembru 2024, završava je u maju 2025. zainteresovana za otvaranje centra u Požarevcu</t>
  </si>
  <si>
    <t>OŠ "Dositej Obradović"</t>
  </si>
  <si>
    <t>Jovana Šerbanovića 10, Požarevac</t>
  </si>
  <si>
    <t>IV razred, 22 učenika</t>
  </si>
  <si>
    <t>Tanja Puškarić (samo koordinator)</t>
  </si>
  <si>
    <t>puskaric.t@gmail.com</t>
  </si>
  <si>
    <t>Ivana Đorđević Krenula na specijalizaciju u septembru 2024, završava je u maju 2025. 
Prvi koraci:
Instagram
Starter paket proizvoda
Flajeri i plakati osnovni paket
Objašnjenje mogućnosti na Drive</t>
  </si>
  <si>
    <t>OŠ "Momčilo Živojinović"</t>
  </si>
  <si>
    <t>Kralja Aleksandra Obrenovića 25, Mladenovac</t>
  </si>
  <si>
    <t>III razred, 27 učenika</t>
  </si>
  <si>
    <t xml:space="preserve">Krenula na specijalizaciju u septembru 2024, završava je u maju 2025. </t>
  </si>
  <si>
    <t>OŠ" 9. Srpska brigada"</t>
  </si>
  <si>
    <t>Kneza Miloša 11,Boljevac</t>
  </si>
  <si>
    <t>II i III razred, 21 učenik</t>
  </si>
  <si>
    <t xml:space="preserve">Iva Pavićević i Antonija Novoselac završile specijalizaciju 2024., od septembra 2025. bi krenule sa NTC Sekcijom </t>
  </si>
  <si>
    <t>Široki Brijeg</t>
  </si>
  <si>
    <t>Kristina Bošnjak</t>
  </si>
  <si>
    <t>387 63 126 831</t>
  </si>
  <si>
    <t>kristina.santic96@gmail.com</t>
  </si>
  <si>
    <t>Završila spec. Čeka odobrenje ministarke za pokretanje centra</t>
  </si>
  <si>
    <t>Prva osnovna škola - Mala škola kod Silosa</t>
  </si>
  <si>
    <t>Stjepana Radića 27, Široki Brijeg</t>
  </si>
  <si>
    <t>IV, 19 učenika</t>
  </si>
  <si>
    <t>063 032 249</t>
  </si>
  <si>
    <t>završila specijalizaciju</t>
  </si>
  <si>
    <t>Sekciju vodi</t>
  </si>
  <si>
    <t>Zvanična mail adresa NTC centra</t>
  </si>
  <si>
    <t>Škola</t>
  </si>
  <si>
    <t>Adresa</t>
  </si>
  <si>
    <t>Datum slanja mejla</t>
  </si>
  <si>
    <t>Ugovor potpisan</t>
  </si>
  <si>
    <t>Poslat materijal</t>
  </si>
  <si>
    <t>Sekcija od</t>
  </si>
  <si>
    <t>Sekcija do</t>
  </si>
  <si>
    <t>Raz / br učenika</t>
  </si>
  <si>
    <t>SRBIJA</t>
  </si>
  <si>
    <t>Samo darovita sekcija, bez pokretanja radionica:</t>
  </si>
  <si>
    <t>064/6593371</t>
  </si>
  <si>
    <t>20 učenika III razred</t>
  </si>
  <si>
    <t>Andrijana drži sekciju.</t>
  </si>
  <si>
    <t>Apatin</t>
  </si>
  <si>
    <t>Silvana Štulić</t>
  </si>
  <si>
    <t>025/773316</t>
  </si>
  <si>
    <t>stsilvana63@gmail.com</t>
  </si>
  <si>
    <t>info@zarko.edu.rs</t>
  </si>
  <si>
    <t>OŠ Žarko Zrenjanin</t>
  </si>
  <si>
    <t>Srpskih Vladara 25</t>
  </si>
  <si>
    <t>Ima materijal od prošle godine</t>
  </si>
  <si>
    <t>28.10. ili 04.11.</t>
  </si>
  <si>
    <t>zeljictanja@gmail.com</t>
  </si>
  <si>
    <t>Donje Šatornje</t>
  </si>
  <si>
    <t>danijela3110@gmail.com</t>
  </si>
  <si>
    <t>OŠ Živko Tomić</t>
  </si>
  <si>
    <t>Jarmenovci, Donja Šatornja</t>
  </si>
  <si>
    <t>oktobar 2022.</t>
  </si>
  <si>
    <t>mart 2023.</t>
  </si>
  <si>
    <t>Nemanja vodio evidenciju.</t>
  </si>
  <si>
    <t>Jovana Latinović</t>
  </si>
  <si>
    <t>jovana.latinovic@ospavlesavic.edu.rs</t>
  </si>
  <si>
    <t>OŠ "Pavle Savić</t>
  </si>
  <si>
    <t>2 (1. и 4. разр. 40 ученика)</t>
  </si>
  <si>
    <t>Београд</t>
  </si>
  <si>
    <t>Слободанка Лазић, Марина Ковачевић</t>
  </si>
  <si>
    <t>bobica35@gmail.com; makiii.kov@gmail.com</t>
  </si>
  <si>
    <t>OŠ Filip Filipović</t>
  </si>
  <si>
    <t>Bulevar Oslobođenja 317</t>
  </si>
  <si>
    <t>III i IV/20 učenika</t>
  </si>
  <si>
    <t>Da (fotografije učenika i zadataka)</t>
  </si>
  <si>
    <t>Marija Jovanović, pedagog</t>
  </si>
  <si>
    <t>OŠ "Jovan Miodragović"</t>
  </si>
  <si>
    <t>Vojvode Dragomira 1</t>
  </si>
  <si>
    <t>Nemanja je slao email</t>
  </si>
  <si>
    <t>ŽELE DA OBNOVE UGOVOR OD SEPTEMBRA 2024.</t>
  </si>
  <si>
    <t>18 učenika</t>
  </si>
  <si>
    <t>Nemanja je bio u kontaktu sa njima i dostavio im ranije diplome. Poslali su izveštaj 13.03.2024.</t>
  </si>
  <si>
    <t>Jana je slala mejl</t>
  </si>
  <si>
    <t>19/III</t>
  </si>
  <si>
    <t>Nemanja dostavio spisak učenika za diplome Angeliki 29.02.</t>
  </si>
  <si>
    <t>Marijana Kolarić, Nada Rac i Dragan Bublić</t>
  </si>
  <si>
    <t>marijana.kolaric@gmail.com</t>
  </si>
  <si>
    <t>OŠ Petefi Brigada</t>
  </si>
  <si>
    <t>25 (IV)</t>
  </si>
  <si>
    <t>neskovic.marija5@gmail.com</t>
  </si>
  <si>
    <t>III/20 učenika</t>
  </si>
  <si>
    <t>Silvana Štulić, Marina Medić i Gabriela Kordić</t>
  </si>
  <si>
    <t xml:space="preserve">OŠ "Žarko Zrenjanin" </t>
  </si>
  <si>
    <t>Srpskih vladara 25</t>
  </si>
  <si>
    <t>Nemanja slao email</t>
  </si>
  <si>
    <t>18/IV</t>
  </si>
  <si>
    <t>Jasna Cigoja</t>
  </si>
  <si>
    <t>062/158-52-35</t>
  </si>
  <si>
    <t>osboljevac@gmail.com, cigoja.jasna.70@gmail.com</t>
  </si>
  <si>
    <t>OŠ 9. Srpskih brigada</t>
  </si>
  <si>
    <t>Kneza Miloša 11</t>
  </si>
  <si>
    <t>30.5.2024. (06.06.2024.)</t>
  </si>
  <si>
    <t>22 učenika (13 učenika III razred i 9 učenika IV razreda)</t>
  </si>
  <si>
    <t>Bila u kontaktu sa Kikom, pa sa Janom. Javila se da će poslati Ugovor 22.02.2024. Nemanja dao odobrenje da radionicu drže 45 minuta jer 3. i 4. razred u toj školi uvek ide posle podne u školu pa zbog svih obaveza nije moguće da se realizuje u intervalu od 90 minuta. / Poslala overen ugovor 28.02. Poslat materijal 07.03.2024.</t>
  </si>
  <si>
    <t>Knežica /  BiH</t>
  </si>
  <si>
    <t>Sanja Bera</t>
  </si>
  <si>
    <t>dusanbera@gmail.com</t>
  </si>
  <si>
    <t>OŠ Majka Knežopoljka</t>
  </si>
  <si>
    <t>Upisati kad dostavi Ugovor</t>
  </si>
  <si>
    <t>Ranko uputio za darovite posle održanog seminara. Pohađala je online seminar 2 i 3.3.2024. kao gratis od strane Ranka
treba još da posluša III deo seminara 9.3.2024.</t>
  </si>
  <si>
    <t>Koprivnica / Hrvatska</t>
  </si>
  <si>
    <t>Maja Kezele</t>
  </si>
  <si>
    <t>maja.solina@skole.hr</t>
  </si>
  <si>
    <t>Snežana Vasić i Jelena Vasović Bajović</t>
  </si>
  <si>
    <t>vasicsnezana54@gmail.com</t>
  </si>
  <si>
    <t>OŠ Jovan Popović</t>
  </si>
  <si>
    <t>Kralja Milana IV 14</t>
  </si>
  <si>
    <t>10.09.2023. i 18.03.2024.</t>
  </si>
  <si>
    <t>20 (11 učenika III i 9 učenika IV)</t>
  </si>
  <si>
    <t xml:space="preserve">Dostavila spisak dece 13.03.2024. Ugovor je potpisan u septembru, ali na moje pitanje zašto se radionice realizuju tek u februaru rekla je da su imali više resursa od II polugodišta, skupljali su decu u toku prvog polugodišta, hteli su da se realizuje i u periodu kada vreme dozvoljava da izađu napolju itd. </t>
  </si>
  <si>
    <t>mirjana.kuzmanovic@hotmail.com</t>
  </si>
  <si>
    <t>OŠ Laza Kostić</t>
  </si>
  <si>
    <t>Masarikova 136</t>
  </si>
  <si>
    <t>Jana je komunircirala</t>
  </si>
  <si>
    <t xml:space="preserve">Barič </t>
  </si>
  <si>
    <t>Sandra Karić</t>
  </si>
  <si>
    <t>O65/8757 137</t>
  </si>
  <si>
    <t>karicsandra313@gmail.com</t>
  </si>
  <si>
    <t>OŠ 14. Oktobar</t>
  </si>
  <si>
    <t>Obrenovački put 132</t>
  </si>
  <si>
    <t xml:space="preserve">Dostavili Ugovor 19.03. </t>
  </si>
  <si>
    <t xml:space="preserve">Nikšić </t>
  </si>
  <si>
    <t>Dijana Rondović, Marina Knežević</t>
  </si>
  <si>
    <t>OŠ Mileva Lajović Lalatović</t>
  </si>
  <si>
    <t>Vuka Karadžića</t>
  </si>
  <si>
    <t>Nemanja je komunicirao</t>
  </si>
  <si>
    <t>22 učenika IV razreda</t>
  </si>
  <si>
    <t xml:space="preserve">Nemanja je komunicirao, prosledio je izveštaj. </t>
  </si>
  <si>
    <t>Sarajevo</t>
  </si>
  <si>
    <t>Suada Tabaković</t>
  </si>
  <si>
    <t xml:space="preserve">suada_t13@hotmail.com </t>
  </si>
  <si>
    <t xml:space="preserve">Nemanja je komunicirao, prosledio je izveštaj. Nema podatak iz koje škole dolazi. </t>
  </si>
  <si>
    <t>Marija Hruska</t>
  </si>
  <si>
    <t>marija.hruska@gmail.com</t>
  </si>
  <si>
    <t>Danijela Vlajković</t>
  </si>
  <si>
    <t>063/87-28-336</t>
  </si>
  <si>
    <t>vlajkovicdanijela@gmail.com</t>
  </si>
  <si>
    <t>Odustala pre procedure.</t>
  </si>
  <si>
    <t>Raška</t>
  </si>
  <si>
    <t>Marina Roglić</t>
  </si>
  <si>
    <t>roglicmarina@gmail.com</t>
  </si>
  <si>
    <t>OŠ Braća Radić</t>
  </si>
  <si>
    <t>Miklinovec ul. 6A, Koprivnica, Hrvatska</t>
  </si>
  <si>
    <t>Odustala tokom promo perioda za probni ciklus.</t>
  </si>
  <si>
    <t>NTC potencijalni centri:</t>
  </si>
  <si>
    <t>adrijanadjokicristic@yahoo.com</t>
  </si>
  <si>
    <t>OŠ Milutin Jelenić</t>
  </si>
  <si>
    <t>Gornja Trnava bb</t>
  </si>
  <si>
    <t>27 učenika (II, III i IV razred)</t>
  </si>
  <si>
    <t xml:space="preserve">Dostavila potpisan i overen Ugovor. Poslat materijal 26.02. </t>
  </si>
  <si>
    <t>OŠ Moma Stanojlović</t>
  </si>
  <si>
    <t>Kneza Mihaila 40, Kragujevac</t>
  </si>
  <si>
    <t>Dostavila potpisan i overen Ugovor 19.03.</t>
  </si>
  <si>
    <t>Aleksandrovac</t>
  </si>
  <si>
    <t>nada.marinkovic03@gmail.com</t>
  </si>
  <si>
    <t>OŠ Aca Aleksić</t>
  </si>
  <si>
    <t>Jaše Petrovića 6</t>
  </si>
  <si>
    <t>24 učenika</t>
  </si>
  <si>
    <t>Završila darovitu sekciju. Dostavila izveštaj i podelila diplome 05.03.</t>
  </si>
  <si>
    <t>Jelena Vukojević</t>
  </si>
  <si>
    <t>0638150098</t>
  </si>
  <si>
    <t>j.n.jeca1991@gmail.com</t>
  </si>
  <si>
    <t>OŠ Ivo Lola Ribar</t>
  </si>
  <si>
    <t>Kruševačka 16</t>
  </si>
  <si>
    <t>Nemanja je slao, nemamo u evidenciji</t>
  </si>
  <si>
    <t>III I IV / 20</t>
  </si>
  <si>
    <t>Poslala izveštaj sa darovitih, poslate diplome za učenike.</t>
  </si>
  <si>
    <t xml:space="preserve">ivanaotasevic2010@gmail.com             </t>
  </si>
  <si>
    <t>43 učenika (II, III i IV razred)</t>
  </si>
  <si>
    <t>Održala VIII radionica
06.02. Poslat Pravilnik o Potencijalnim centrima, 08.02. potvrdila da je saglasna sa navedenim Pravilnikom.</t>
  </si>
  <si>
    <t>Mionica</t>
  </si>
  <si>
    <t>Jelica Maksimović</t>
  </si>
  <si>
    <t>063379390</t>
  </si>
  <si>
    <t>jelicamaksimovic@gmail.com</t>
  </si>
  <si>
    <t>Darovita sekcija nije realizovana u školskoj 2023/2024</t>
  </si>
  <si>
    <t>anavujic22@gmail.com</t>
  </si>
  <si>
    <t>OŠ "Milan Rakić"</t>
  </si>
  <si>
    <t>Kneza Grbovića 31</t>
  </si>
  <si>
    <t>ivanabozic83@gmail.com</t>
  </si>
  <si>
    <t>OŠ Nadežda Petrović</t>
  </si>
  <si>
    <t>10. oktobar 54</t>
  </si>
  <si>
    <t>16 učenika</t>
  </si>
  <si>
    <t>Poslat Ugovor 20.02. i tražena dokumentacija u vezi ministarstva</t>
  </si>
  <si>
    <t>Aleksandra Radenković</t>
  </si>
  <si>
    <t>0659996618</t>
  </si>
  <si>
    <t>aleksandra.radenkovic977@gmail.com</t>
  </si>
  <si>
    <t>Zmajevo</t>
  </si>
  <si>
    <t>natassa.zm@gmail.com</t>
  </si>
  <si>
    <t>Jovan Jovanović Zmaj</t>
  </si>
  <si>
    <t>Ivana Milutinovića 64, Zmajevo</t>
  </si>
  <si>
    <t>2 razreda (III i IV razred)</t>
  </si>
  <si>
    <t>Dostavljen Ugovor 01.03. i poslat materijal</t>
  </si>
  <si>
    <t>Lazarevac</t>
  </si>
  <si>
    <t>stefanonatasa@gmail.com</t>
  </si>
  <si>
    <t>OŠ Dule Karaklajić</t>
  </si>
  <si>
    <t>K. Petra I 11</t>
  </si>
  <si>
    <t>40 učenika (III i IV razred)</t>
  </si>
  <si>
    <t>Poslat materijal 23.02.2024. Nije dostavila odgovor.</t>
  </si>
  <si>
    <t>0644605050</t>
  </si>
  <si>
    <t>OŠ Šama Mihalj, OŠ Sever Đurkić, OŠ Zdravko Gložanski, OŠ Petefi Šandor</t>
  </si>
  <si>
    <t>Trg Bratstva Jedinstva 2, Zelena br. 102, Dositejeva 4, Republikanska 135</t>
  </si>
  <si>
    <t>37 učenika</t>
  </si>
  <si>
    <t>U ponedeljak 11.03. završavaju darovite. Dostavljene diplome 07.03.</t>
  </si>
  <si>
    <t>Nataša Marković</t>
  </si>
  <si>
    <t>0658002255</t>
  </si>
  <si>
    <t>info@pametnipatuljak.rs</t>
  </si>
  <si>
    <t>Vrtić Pametni Patuljak</t>
  </si>
  <si>
    <t>Poslata finalna dokumentacija, 20.3.2024.</t>
  </si>
  <si>
    <t>Pozicija</t>
  </si>
  <si>
    <t>Ima i prezime</t>
  </si>
  <si>
    <t>mail</t>
  </si>
  <si>
    <t>Kontakt</t>
  </si>
  <si>
    <t>U NTC timu od:</t>
  </si>
  <si>
    <t>Test A</t>
  </si>
  <si>
    <t>Rezultati %</t>
  </si>
  <si>
    <t>PREDAVAČ</t>
  </si>
  <si>
    <t>Dušan Rakić</t>
  </si>
  <si>
    <t>dusan.rakic.1995@gmail.com</t>
  </si>
  <si>
    <t>064/4027761</t>
  </si>
  <si>
    <t>Ic 2021.</t>
  </si>
  <si>
    <t>Jelena Živanov</t>
  </si>
  <si>
    <t>jelenazivanov1998@gmail.com</t>
  </si>
  <si>
    <t>066/6441998</t>
  </si>
  <si>
    <t>2019.</t>
  </si>
  <si>
    <t>Jovana Torović</t>
  </si>
  <si>
    <t>Ivana Marinković</t>
  </si>
  <si>
    <t>Ivana Buljin</t>
  </si>
  <si>
    <t>Jelena Jovanović, Lela</t>
  </si>
  <si>
    <t>jelenasens@gmail.com</t>
  </si>
  <si>
    <t>065/8989869</t>
  </si>
  <si>
    <t>Jelena Šurlan</t>
  </si>
  <si>
    <t>jelena.surlan1997@gmail.com</t>
  </si>
  <si>
    <t>063/525013</t>
  </si>
  <si>
    <t>jun 2023.</t>
  </si>
  <si>
    <t>ASISTENT</t>
  </si>
  <si>
    <t>Lana Kostadinović</t>
  </si>
  <si>
    <t>lana.kostadinovic.ms@gmail.com</t>
  </si>
  <si>
    <t>069/2101118</t>
  </si>
  <si>
    <t>Marina Zeljković</t>
  </si>
  <si>
    <t>marina.zeljkovic11@gmail.com</t>
  </si>
  <si>
    <t>062/1003994</t>
  </si>
  <si>
    <t>Ic 2020.</t>
  </si>
  <si>
    <t>Nemanja Petrović</t>
  </si>
  <si>
    <t>nelepetrovic@gmail.com</t>
  </si>
  <si>
    <t>065/3577152</t>
  </si>
  <si>
    <t>Nikola Maravić</t>
  </si>
  <si>
    <t>crvenka.nikola@gmail.com</t>
  </si>
  <si>
    <t>063/7353415</t>
  </si>
  <si>
    <t>Paula Rajda</t>
  </si>
  <si>
    <t>paularajda5@gmail.com</t>
  </si>
  <si>
    <t>069/633903</t>
  </si>
  <si>
    <t>Saša Nikolaidis</t>
  </si>
  <si>
    <t>nikolaidiss99@gmail.com</t>
  </si>
  <si>
    <t>069/3001626</t>
  </si>
  <si>
    <t>nena.sk0806@gmail.com</t>
  </si>
  <si>
    <t>060/0862808</t>
  </si>
  <si>
    <t>Ic 2019.</t>
  </si>
  <si>
    <t>Snezana Radisavljević</t>
  </si>
  <si>
    <t>sneza23ristovic@gmail.com</t>
  </si>
  <si>
    <t>064/2452390</t>
  </si>
  <si>
    <t>2017.</t>
  </si>
  <si>
    <t>Teodora Kiš</t>
  </si>
  <si>
    <t>teitza@gmail.com</t>
  </si>
  <si>
    <t>061/6561776</t>
  </si>
  <si>
    <t>Teodora Cvanić</t>
  </si>
  <si>
    <t>cvanicteodora@gmail.com</t>
  </si>
  <si>
    <t>063/7382981</t>
  </si>
  <si>
    <t>Ic 2022.</t>
  </si>
  <si>
    <t>Gorana Domić</t>
  </si>
  <si>
    <t>gorana.domic@gmail.com</t>
  </si>
  <si>
    <t>063/8818820</t>
  </si>
  <si>
    <t>Milica Rastović</t>
  </si>
  <si>
    <t>milica0042@gmail.com</t>
  </si>
  <si>
    <t>064/5551916</t>
  </si>
  <si>
    <t>Andrijana Goronja</t>
  </si>
  <si>
    <t>andrijana.goronja@gmail.com</t>
  </si>
  <si>
    <t>065/4291394</t>
  </si>
  <si>
    <t>Jana Zindović</t>
  </si>
  <si>
    <t>anaj.civodniz@hotmail.com</t>
  </si>
  <si>
    <t>060/7123410</t>
  </si>
  <si>
    <t>Bojana Ristić</t>
  </si>
  <si>
    <t>bobiristic@icloud.com</t>
  </si>
  <si>
    <t>069/778112</t>
  </si>
  <si>
    <t>Ic 2016.</t>
  </si>
  <si>
    <t>Luka Rangelov</t>
  </si>
  <si>
    <t>lrang97@gmail.com</t>
  </si>
  <si>
    <t>061/2504879</t>
  </si>
  <si>
    <t>Mladen Djekić</t>
  </si>
  <si>
    <t>djeka23@gmail.com</t>
  </si>
  <si>
    <t>064/2250687</t>
  </si>
  <si>
    <t>Aleksandra Popović</t>
  </si>
  <si>
    <t>aleksandrapopovic71@gmail.com</t>
  </si>
  <si>
    <t>063/397411</t>
  </si>
  <si>
    <t>2015.</t>
  </si>
  <si>
    <t>065/2110015</t>
  </si>
  <si>
    <t>Branka Milićević</t>
  </si>
  <si>
    <t>bjankam80@gmail.com</t>
  </si>
  <si>
    <t>060/6632322</t>
  </si>
  <si>
    <t>Dragana Neđić</t>
  </si>
  <si>
    <t>gaganedjic@gmail.com</t>
  </si>
  <si>
    <t>064/3063402</t>
  </si>
  <si>
    <t>Ivana Veselinović</t>
  </si>
  <si>
    <t>ivanaveselinovic94@gmail.com</t>
  </si>
  <si>
    <t>069/3447593</t>
  </si>
  <si>
    <t>Milica Lukić</t>
  </si>
  <si>
    <t>mimalukic92@gmail.com</t>
  </si>
  <si>
    <t>069/3303133</t>
  </si>
  <si>
    <t>Strahinja Tripković</t>
  </si>
  <si>
    <t>strahinjapedagog@gmail.com</t>
  </si>
  <si>
    <t>066/206264</t>
  </si>
  <si>
    <t>Katarina Pavlović</t>
  </si>
  <si>
    <t>pavlovick.13@gmail.com</t>
  </si>
  <si>
    <t>069/3525995</t>
  </si>
  <si>
    <t>Zorana Ognjanović</t>
  </si>
  <si>
    <t>zookyca@gmail.com</t>
  </si>
  <si>
    <t>069/1885670</t>
  </si>
  <si>
    <t>Marina Đorđić</t>
  </si>
  <si>
    <t>marina.djordjic.94@gmail.com</t>
  </si>
  <si>
    <t>065/5110389</t>
  </si>
  <si>
    <t>Milica Krivokuća</t>
  </si>
  <si>
    <t>krivokuca.milica@gmail.com</t>
  </si>
  <si>
    <t>064/3830332</t>
  </si>
  <si>
    <t>2016.</t>
  </si>
  <si>
    <t>Mirjana Lučić</t>
  </si>
  <si>
    <t>glogovac.mirjana.hw@gmail.com</t>
  </si>
  <si>
    <t>069/2547858</t>
  </si>
  <si>
    <t>Antonina Vučković</t>
  </si>
  <si>
    <t>antoninavuckovic@gmail.com</t>
  </si>
  <si>
    <t>063/7327629</t>
  </si>
  <si>
    <t>Sanja Starovlah</t>
  </si>
  <si>
    <t>sanja.starovlah1@gmail.com</t>
  </si>
  <si>
    <t>060/5616082</t>
  </si>
  <si>
    <t xml:space="preserve"> Ic 2022.</t>
  </si>
  <si>
    <t>Tanja Dodić</t>
  </si>
  <si>
    <t>tanja.dodic@gmail.com</t>
  </si>
  <si>
    <t>060/3076323</t>
  </si>
  <si>
    <t>IIc 2022.</t>
  </si>
  <si>
    <t>Daša Mihajlović</t>
  </si>
  <si>
    <t>dasamihailovic72@gmail.com</t>
  </si>
  <si>
    <t>065/3940606</t>
  </si>
  <si>
    <t>Ic 2023.</t>
  </si>
  <si>
    <t>Nevena Zujović</t>
  </si>
  <si>
    <t>nevenazujovic1998@gmail.com</t>
  </si>
  <si>
    <t>069/1281650</t>
  </si>
  <si>
    <t>IIc 2023.</t>
  </si>
  <si>
    <t>Marija Kecman</t>
  </si>
  <si>
    <t>063/1126026</t>
  </si>
  <si>
    <t>marko.trajkovic1989@gmail.com</t>
  </si>
  <si>
    <t>064/4901264</t>
  </si>
  <si>
    <t>-</t>
  </si>
  <si>
    <t>Aleksandra Stanković</t>
  </si>
  <si>
    <t>thealeksandrastankovic@gmail.com</t>
  </si>
  <si>
    <t>Dijana Jovanović</t>
  </si>
  <si>
    <t>dijanajovanovic@kraljpetar.edu.rs</t>
  </si>
  <si>
    <t>2021.</t>
  </si>
  <si>
    <t>Dragana Lazarević</t>
  </si>
  <si>
    <t>draganalazarevic757@gmail.com</t>
  </si>
  <si>
    <t>Andjela Andrijević</t>
  </si>
  <si>
    <r>
      <rPr>
        <sz val="10"/>
        <color rgb="FF434343"/>
        <rFont val="Arial"/>
      </rPr>
      <t>andrijevicandjela@</t>
    </r>
    <r>
      <rPr>
        <sz val="10"/>
        <color rgb="FF434343"/>
        <rFont val="Arial"/>
      </rPr>
      <t>gmail.com</t>
    </r>
  </si>
  <si>
    <t>Ivana Stanković</t>
  </si>
  <si>
    <t>ivana.stankovic.ped@gmail.com</t>
  </si>
  <si>
    <t>Ivana Todorić</t>
  </si>
  <si>
    <t>todoriciva@gmail.com</t>
  </si>
  <si>
    <t>Biljana Cvetković</t>
  </si>
  <si>
    <t>biljacvet1947@gmail.com</t>
  </si>
  <si>
    <t>Dušica Glišić Stefanović</t>
  </si>
  <si>
    <t>dusica.m.stefanovic@gmail.com</t>
  </si>
  <si>
    <t>Nataša Todosijević</t>
  </si>
  <si>
    <t>tonatanet@gmail.com</t>
  </si>
  <si>
    <t>arsicdragana35@gmail.com</t>
  </si>
  <si>
    <t>Marija Kostić</t>
  </si>
  <si>
    <t>kosticcmaja@gmail.com</t>
  </si>
  <si>
    <t>Nevena Čeperković</t>
  </si>
  <si>
    <t>Snežana Marković</t>
  </si>
  <si>
    <t>Sanja Ivanović</t>
  </si>
  <si>
    <t>Silvia Skrofanov</t>
  </si>
  <si>
    <t>Ivona Blažin</t>
  </si>
  <si>
    <t>Novi  Bečej</t>
  </si>
  <si>
    <t>Iva Ćurčić</t>
  </si>
  <si>
    <t>aleksandra.jaric@gmail.com</t>
  </si>
  <si>
    <t>Svetlana Cvijin</t>
  </si>
  <si>
    <t>ce101cac@gmail.com</t>
  </si>
  <si>
    <t>Gabrijela Vuković</t>
  </si>
  <si>
    <t>Bjanka Cvetković</t>
  </si>
  <si>
    <t>bjankad@gmail.com</t>
  </si>
  <si>
    <t>Ljiljana Mudrinić</t>
  </si>
  <si>
    <t>lj.mudrinic.sk@gmail.com</t>
  </si>
  <si>
    <t>Bojana Milojević</t>
  </si>
  <si>
    <t>Nikola Mićević</t>
  </si>
  <si>
    <t>Bogdan Marjanović</t>
  </si>
  <si>
    <t>Katarina Jovanetić</t>
  </si>
  <si>
    <t>Ivana Božić,</t>
  </si>
  <si>
    <t>Aleksandra Citakovic</t>
  </si>
  <si>
    <t xml:space="preserve">Lajkovac </t>
  </si>
  <si>
    <t>Danijela Đorđević</t>
  </si>
  <si>
    <t xml:space="preserve">Pančevo </t>
  </si>
  <si>
    <t>Verica Božić</t>
  </si>
  <si>
    <t>joksi.daksi@gmail.com</t>
  </si>
  <si>
    <t>Ljiljana Delić</t>
  </si>
  <si>
    <t>ljiljanadelic08@gmail.com</t>
  </si>
  <si>
    <t>Katarina Stepanović</t>
  </si>
  <si>
    <t xml:space="preserve">Miljana Jevtić </t>
  </si>
  <si>
    <t>Ivana Đorović</t>
  </si>
  <si>
    <t>Dragana Cvetković</t>
  </si>
  <si>
    <t>Tea Topić Laništanin</t>
  </si>
  <si>
    <t>Ognjen Cvetković</t>
  </si>
  <si>
    <t>o.cvetkovic@gmail.com</t>
  </si>
  <si>
    <t>Jasmina Ružić</t>
  </si>
  <si>
    <t>jruzic75@gmail.com</t>
  </si>
  <si>
    <t>Marina Pećanac</t>
  </si>
  <si>
    <t>marinabpecanac@gmail.com</t>
  </si>
  <si>
    <t>Marijana Pavlović</t>
  </si>
  <si>
    <t>Beograd - Berc</t>
  </si>
  <si>
    <t>Marijana Nikolić</t>
  </si>
  <si>
    <t>milena.lalic7@gmail.com</t>
  </si>
  <si>
    <t>Slobodanka Petrović</t>
  </si>
  <si>
    <t>slobodanka.petrovic@gmail.com</t>
  </si>
  <si>
    <t>Milica Veličković Cvetković</t>
  </si>
  <si>
    <t>mmuckalica22@gmail.com</t>
  </si>
  <si>
    <t>Snežana Đorđević</t>
  </si>
  <si>
    <t>Milica Pavlović</t>
  </si>
  <si>
    <t>Isidora Miljković</t>
  </si>
  <si>
    <t>Vesna Tesla</t>
  </si>
  <si>
    <t>Marina Barišić</t>
  </si>
  <si>
    <t>Biljana Džaić</t>
  </si>
  <si>
    <t>Milica Zlatković</t>
  </si>
  <si>
    <t>Tijana Ćirić</t>
  </si>
  <si>
    <t xml:space="preserve"> Stara Pazova</t>
  </si>
  <si>
    <t>Tanja Stanišić</t>
  </si>
  <si>
    <t>Tatjana Mitić</t>
  </si>
  <si>
    <t>Marina Bašišić</t>
  </si>
  <si>
    <t>Jelena Zelić</t>
  </si>
  <si>
    <t>Valentina Prusac</t>
  </si>
  <si>
    <t>Tamara Miljević</t>
  </si>
  <si>
    <t>Jelena Radivojević</t>
  </si>
  <si>
    <t>Marina Jevtić</t>
  </si>
  <si>
    <t>grujicicmarina89@gmail.com</t>
  </si>
  <si>
    <t>Katarina Cvetinović</t>
  </si>
  <si>
    <t>Katarina Periškić</t>
  </si>
  <si>
    <t>Dragana Mitošević</t>
  </si>
  <si>
    <t>Aleksandra Sekulić</t>
  </si>
  <si>
    <t>Bojana Milovančev</t>
  </si>
  <si>
    <t>Branka Popović</t>
  </si>
  <si>
    <t>Stanislava Petrov</t>
  </si>
  <si>
    <t>Tamara Šustran</t>
  </si>
  <si>
    <t>Jelena Petrovic</t>
  </si>
  <si>
    <t>Milica Cucić Topalov</t>
  </si>
  <si>
    <t>Banja Luka (oxford)</t>
  </si>
  <si>
    <t>Jovica Makivić</t>
  </si>
  <si>
    <t>jocojoco992@gmail.com</t>
  </si>
  <si>
    <t>Banja Luka  (oxford)</t>
  </si>
  <si>
    <t>Ksenija Vidaković</t>
  </si>
  <si>
    <t>xenija75@gmail.com</t>
  </si>
  <si>
    <t>Vesna Malešević</t>
  </si>
  <si>
    <t>vesnamalesevic63@gmail.com</t>
  </si>
  <si>
    <t>Tanja Malešević</t>
  </si>
  <si>
    <t>tanja98malesevic@gmail.com</t>
  </si>
  <si>
    <t>Ivana Svatok Malić</t>
  </si>
  <si>
    <t>ivanasvatok@gmail.com</t>
  </si>
  <si>
    <t>Marija Vranjković</t>
  </si>
  <si>
    <t>marija.vranjkovic94@gmail.com</t>
  </si>
  <si>
    <t>Dragan Erić</t>
  </si>
  <si>
    <t>Bojana Veselinović</t>
  </si>
  <si>
    <t>bojanac-v@hotmail.com</t>
  </si>
  <si>
    <t>Gordana Babić</t>
  </si>
  <si>
    <t>pavledjole@gmail.com</t>
  </si>
  <si>
    <t>Pavle Babić</t>
  </si>
  <si>
    <t>Tanja Raičević</t>
  </si>
  <si>
    <t>tanjaraicevic573@gmail.com</t>
  </si>
  <si>
    <t>Olivera Ćosović</t>
  </si>
  <si>
    <t>okica2008@hotmail.com</t>
  </si>
  <si>
    <t>Ana Marojević Bulatović</t>
  </si>
  <si>
    <t>hanchy13@yahoo.com</t>
  </si>
  <si>
    <t>Verica Marojević</t>
  </si>
  <si>
    <t>Snežana Andrović</t>
  </si>
  <si>
    <t>Sanja Krgović</t>
  </si>
  <si>
    <t>sanjavojinkrgovic@gmail.com</t>
  </si>
  <si>
    <t>Jelena Perišić</t>
  </si>
  <si>
    <t>Perisicjelena120@gmail.com</t>
  </si>
  <si>
    <t>Maja Lizdek</t>
  </si>
  <si>
    <t>Lizdekmaja48@gmail.com</t>
  </si>
  <si>
    <t>Marija Vuković</t>
  </si>
  <si>
    <t>Marijavukmirovic986@gmail.com</t>
  </si>
  <si>
    <t>Marina Dragašević</t>
  </si>
  <si>
    <t>mawinap@gmail.com</t>
  </si>
  <si>
    <t>Maja Hristov</t>
  </si>
  <si>
    <t>ŠABAC</t>
  </si>
  <si>
    <t>Predavači</t>
  </si>
  <si>
    <t>Marija Kuzmanović</t>
  </si>
  <si>
    <t>marija.kuzmanovic.18@hotmail.com</t>
  </si>
  <si>
    <t>Mirjana Pravnić</t>
  </si>
  <si>
    <t>LOZNICA</t>
  </si>
  <si>
    <t>Kristina Periskić</t>
  </si>
  <si>
    <t>kristina.periskic@gmail.com</t>
  </si>
  <si>
    <t>ketinanabole06@gmail.com</t>
  </si>
  <si>
    <t>Milica Vasić</t>
  </si>
  <si>
    <t>RUMA</t>
  </si>
  <si>
    <t>slavicabobicsm@gmail.com</t>
  </si>
  <si>
    <t>SREMSKA MITROVICA</t>
  </si>
  <si>
    <t>Kriterijum</t>
  </si>
  <si>
    <t>Maksimalan broj bodova</t>
  </si>
  <si>
    <t>Način bodovanja</t>
  </si>
  <si>
    <t>Ukoliko centar ima manje od 1% dece - 0 bodova, ukoliko ima od 1 do 3% dece - 2 boda, ukoliko ima preko 3% dece - 3 boda</t>
  </si>
  <si>
    <t>Rast centra</t>
  </si>
  <si>
    <t>Ukoliko centar nema rast - 0 bodova, ukoliko ima rast od 0-10% 1 bod, ukoliko ima rast preko 10% - 2 boda</t>
  </si>
  <si>
    <t>Kvalitet radionica</t>
  </si>
  <si>
    <t>?</t>
  </si>
  <si>
    <t>Poštovanje Kalendara aktivnosti koordinatora po pitanju stavki povezanih sa Marketingom</t>
  </si>
  <si>
    <t>Ažurnost dokumentacije</t>
  </si>
  <si>
    <t>Prema informacijama od koordinatora centara, povezano sa poštovanjem definisanih rokova i popunjavanaj dokumentacije</t>
  </si>
  <si>
    <t>8-10 bodova Zlatni centar</t>
  </si>
  <si>
    <t>5-7 bodova Srebrni centar</t>
  </si>
  <si>
    <t>3-4 bodova Bronzani centar</t>
  </si>
  <si>
    <t>0-2 boda Gvozdeni centar</t>
  </si>
  <si>
    <t>Latitude</t>
  </si>
  <si>
    <t>Longitude</t>
  </si>
  <si>
    <t>Bar, Montenegro</t>
  </si>
  <si>
    <t>Belgrade</t>
  </si>
  <si>
    <t>Brčko</t>
  </si>
  <si>
    <t>Chicago</t>
  </si>
  <si>
    <t>Kotor</t>
  </si>
  <si>
    <t>Kula, Serbia</t>
  </si>
  <si>
    <t>Radoboj</t>
  </si>
  <si>
    <t>Skopje</t>
  </si>
  <si>
    <t>Split, Croatia</t>
  </si>
  <si>
    <t>Varaždin</t>
  </si>
  <si>
    <t>Vinkovci</t>
  </si>
  <si>
    <t>Vrbas, Serbia</t>
  </si>
  <si>
    <t>Grad2</t>
  </si>
  <si>
    <t>Srbac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</si>
</sst>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m\.yyyy\."/>
    <numFmt numFmtId="166" formatCode="dd\.mm\.yyyy\."/>
    <numFmt numFmtId="167" formatCode="d\.\ m\.\ yyyy\."/>
    <numFmt numFmtId="168" formatCode="dd\.mm\.yyyy"/>
    <numFmt numFmtId="169" formatCode="dd\.mm\."/>
  </numFmts>
  <fonts count="63">
    <font>
      <sz val="10"/>
      <color rgb="FF000000"/>
      <name val="Arial"/>
      <scheme val="minor"/>
    </font>
    <font>
      <sz val="12"/>
      <color theme="1"/>
      <name val="Arial"/>
      <scheme val="minor"/>
    </font>
    <font>
      <b/>
      <sz val="12"/>
      <color theme="1"/>
      <name val="Arial"/>
      <scheme val="minor"/>
    </font>
    <font>
      <sz val="12"/>
      <color theme="1"/>
      <name val="Roboto"/>
    </font>
    <font>
      <sz val="12"/>
      <color rgb="FF525252"/>
      <name val="Roboto"/>
    </font>
    <font>
      <sz val="12"/>
      <color rgb="FF434343"/>
      <name val="Roboto"/>
    </font>
    <font>
      <sz val="12"/>
      <color rgb="FF525252"/>
      <name val="Cabin"/>
    </font>
    <font>
      <sz val="12"/>
      <color rgb="FF222222"/>
      <name val="Roboto"/>
    </font>
    <font>
      <sz val="12"/>
      <color rgb="FF434343"/>
      <name val="Arial"/>
      <scheme val="minor"/>
    </font>
    <font>
      <sz val="10"/>
      <color theme="1"/>
      <name val="Arial"/>
      <scheme val="minor"/>
    </font>
    <font>
      <sz val="10"/>
      <color rgb="FF000000"/>
      <name val="Arial"/>
    </font>
    <font>
      <sz val="11"/>
      <color theme="1"/>
      <name val="Arial"/>
      <scheme val="minor"/>
    </font>
    <font>
      <u/>
      <sz val="12"/>
      <color rgb="FF0000FF"/>
      <name val="Roboto"/>
    </font>
    <font>
      <sz val="12"/>
      <color rgb="FFFF0000"/>
      <name val="Arial"/>
      <scheme val="minor"/>
    </font>
    <font>
      <sz val="10"/>
      <color rgb="FF434343"/>
      <name val="Arial"/>
      <scheme val="minor"/>
    </font>
    <font>
      <sz val="12"/>
      <color rgb="FF000000"/>
      <name val="Arial"/>
      <scheme val="minor"/>
    </font>
    <font>
      <sz val="12"/>
      <color rgb="FF434343"/>
      <name val="Arial"/>
    </font>
    <font>
      <sz val="11"/>
      <color rgb="FF222222"/>
      <name val="&quot;Google Sans&quot;"/>
    </font>
    <font>
      <sz val="12"/>
      <color rgb="FF525252"/>
      <name val="Arial"/>
      <scheme val="minor"/>
    </font>
    <font>
      <sz val="10"/>
      <color theme="1"/>
      <name val="Roboto"/>
    </font>
    <font>
      <sz val="12"/>
      <color rgb="FF434343"/>
      <name val="Cabin"/>
    </font>
    <font>
      <strike/>
      <sz val="12"/>
      <color theme="1"/>
      <name val="Arial"/>
      <scheme val="minor"/>
    </font>
    <font>
      <strike/>
      <sz val="10"/>
      <color theme="1"/>
      <name val="Arial"/>
      <scheme val="minor"/>
    </font>
    <font>
      <sz val="12"/>
      <color rgb="FF000000"/>
      <name val="Roboto"/>
    </font>
    <font>
      <sz val="10"/>
      <color theme="1"/>
      <name val="Arial"/>
    </font>
    <font>
      <b/>
      <sz val="19"/>
      <color theme="1"/>
      <name val="Arial"/>
    </font>
    <font>
      <sz val="10"/>
      <name val="Arial"/>
    </font>
    <font>
      <b/>
      <sz val="10"/>
      <color theme="1"/>
      <name val="Arial"/>
    </font>
    <font>
      <b/>
      <sz val="10"/>
      <color theme="1"/>
      <name val="Arial"/>
    </font>
    <font>
      <sz val="11"/>
      <color theme="1"/>
      <name val="Arial"/>
    </font>
    <font>
      <u/>
      <sz val="10"/>
      <color rgb="FF222222"/>
      <name val="Arial"/>
    </font>
    <font>
      <sz val="10"/>
      <color rgb="FF222222"/>
      <name val="Arial"/>
    </font>
    <font>
      <sz val="10"/>
      <color theme="1"/>
      <name val="Arial"/>
    </font>
    <font>
      <u/>
      <sz val="10"/>
      <color rgb="FF222222"/>
      <name val="Arial"/>
    </font>
    <font>
      <u/>
      <sz val="10"/>
      <color rgb="FF000000"/>
      <name val="Arial"/>
    </font>
    <font>
      <sz val="11"/>
      <color rgb="FF383838"/>
      <name val="Lato"/>
    </font>
    <font>
      <sz val="10"/>
      <color rgb="FF222222"/>
      <name val="Helvetica Neue"/>
    </font>
    <font>
      <u/>
      <sz val="10"/>
      <color rgb="FF222222"/>
      <name val="Arial"/>
      <scheme val="minor"/>
    </font>
    <font>
      <sz val="10"/>
      <color rgb="FF000000"/>
      <name val="Arial"/>
    </font>
    <font>
      <sz val="10"/>
      <color theme="1"/>
      <name val="Google Sans"/>
    </font>
    <font>
      <u/>
      <sz val="10"/>
      <color theme="1"/>
      <name val="Arial"/>
    </font>
    <font>
      <sz val="10"/>
      <color rgb="FF474747"/>
      <name val="Arial"/>
    </font>
    <font>
      <sz val="10"/>
      <color rgb="FF1F1F1F"/>
      <name val="Arial"/>
    </font>
    <font>
      <b/>
      <sz val="11"/>
      <color theme="1"/>
      <name val="Arial"/>
    </font>
    <font>
      <b/>
      <sz val="13"/>
      <color theme="1"/>
      <name val="Arial"/>
    </font>
    <font>
      <sz val="10"/>
      <color rgb="FF222222"/>
      <name val="Arial"/>
    </font>
    <font>
      <b/>
      <sz val="12"/>
      <color theme="1"/>
      <name val="Arial"/>
    </font>
    <font>
      <sz val="12"/>
      <color theme="1"/>
      <name val="Arial"/>
    </font>
    <font>
      <u/>
      <sz val="10"/>
      <color theme="1"/>
      <name val="Arial"/>
      <scheme val="minor"/>
    </font>
    <font>
      <u/>
      <sz val="10"/>
      <color theme="1"/>
      <name val="Arial"/>
      <scheme val="minor"/>
    </font>
    <font>
      <u/>
      <sz val="10"/>
      <color theme="1"/>
      <name val="Arial"/>
      <scheme val="minor"/>
    </font>
    <font>
      <u/>
      <sz val="10"/>
      <color theme="1"/>
      <name val="Arial"/>
    </font>
    <font>
      <u/>
      <sz val="10"/>
      <color theme="1"/>
      <name val="Arial"/>
    </font>
    <font>
      <b/>
      <sz val="9"/>
      <color theme="1"/>
      <name val="Arial"/>
    </font>
    <font>
      <b/>
      <u/>
      <sz val="10"/>
      <color theme="1"/>
      <name val="Arial"/>
    </font>
    <font>
      <b/>
      <sz val="12"/>
      <color rgb="FFFF0000"/>
      <name val="Arial"/>
    </font>
    <font>
      <b/>
      <sz val="13"/>
      <color rgb="FFD9D9D9"/>
      <name val="Arial"/>
    </font>
    <font>
      <b/>
      <sz val="13"/>
      <color rgb="FFFF0000"/>
      <name val="Arial"/>
      <scheme val="minor"/>
    </font>
    <font>
      <sz val="10"/>
      <color rgb="FF5E5E5E"/>
      <name val="Arial"/>
    </font>
    <font>
      <u/>
      <sz val="10"/>
      <color theme="1"/>
      <name val="Arial"/>
    </font>
    <font>
      <u/>
      <sz val="12"/>
      <color rgb="FF1155CC"/>
      <name val="&quot;Arial&quot;,&quot;sans-serif&quot;"/>
    </font>
    <font>
      <sz val="10"/>
      <color rgb="FF434343"/>
      <name val="Arial"/>
    </font>
    <font>
      <sz val="8"/>
      <name val="Arial"/>
      <scheme val="minor"/>
    </font>
  </fonts>
  <fills count="17">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EEEEEE"/>
        <bgColor rgb="FFEEEEEE"/>
      </patternFill>
    </fill>
    <fill>
      <patternFill patternType="solid">
        <fgColor rgb="FFEFEFEF"/>
        <bgColor rgb="FFEFEFEF"/>
      </patternFill>
    </fill>
    <fill>
      <patternFill patternType="solid">
        <fgColor rgb="FFFFF2CC"/>
        <bgColor rgb="FFFFF2CC"/>
      </patternFill>
    </fill>
    <fill>
      <patternFill patternType="solid">
        <fgColor rgb="FFD9D9D9"/>
        <bgColor rgb="FFD9D9D9"/>
      </patternFill>
    </fill>
    <fill>
      <patternFill patternType="solid">
        <fgColor rgb="FFFFFF00"/>
        <bgColor rgb="FFFFFF00"/>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6B26B"/>
        <bgColor rgb="FFF6B26B"/>
      </patternFill>
    </fill>
    <fill>
      <patternFill patternType="solid">
        <fgColor rgb="FFEA9999"/>
        <bgColor rgb="FFEA9999"/>
      </patternFill>
    </fill>
    <fill>
      <patternFill patternType="solid">
        <fgColor rgb="FF00FF00"/>
        <bgColor rgb="FF00FF00"/>
      </patternFill>
    </fill>
    <fill>
      <patternFill patternType="solid">
        <fgColor rgb="FFFCE5CD"/>
        <bgColor rgb="FFFCE5CD"/>
      </patternFill>
    </fill>
    <fill>
      <patternFill patternType="solid">
        <fgColor rgb="FF6AA84F"/>
        <bgColor rgb="FF6AA84F"/>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34A853"/>
      </left>
      <right style="thin">
        <color rgb="FF34A853"/>
      </right>
      <top style="thin">
        <color rgb="FF34A853"/>
      </top>
      <bottom style="thin">
        <color rgb="FF34A853"/>
      </bottom>
      <diagonal/>
    </border>
    <border>
      <left style="thin">
        <color rgb="FF93C47D"/>
      </left>
      <right style="thin">
        <color rgb="FF93C47D"/>
      </right>
      <top style="thin">
        <color rgb="FF93C47D"/>
      </top>
      <bottom style="thin">
        <color rgb="FF93C47D"/>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93C47D"/>
      </left>
      <right/>
      <top style="thin">
        <color rgb="FF93C47D"/>
      </top>
      <bottom style="thin">
        <color rgb="FF93C47D"/>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CCCCCC"/>
      </left>
      <right style="thin">
        <color rgb="FFCCCCCC"/>
      </right>
      <top style="thin">
        <color rgb="FFCCCCCC"/>
      </top>
      <bottom style="thin">
        <color rgb="FFCCCCCC"/>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CCCCCC"/>
      </left>
      <right style="thin">
        <color rgb="FFCCCCCC"/>
      </right>
      <top/>
      <bottom style="thin">
        <color rgb="FFCCCCCC"/>
      </bottom>
      <diagonal/>
    </border>
  </borders>
  <cellStyleXfs count="1">
    <xf numFmtId="0" fontId="0" fillId="0" borderId="0"/>
  </cellStyleXfs>
  <cellXfs count="480">
    <xf numFmtId="0" fontId="0" fillId="0" borderId="0" xfId="0"/>
    <xf numFmtId="0" fontId="1" fillId="0" borderId="0" xfId="0" applyFont="1" applyAlignment="1">
      <alignment horizontal="center" vertical="center" wrapText="1"/>
    </xf>
    <xf numFmtId="0" fontId="1" fillId="0" borderId="0" xfId="0" applyFont="1" applyAlignment="1">
      <alignment horizontal="center" wrapText="1"/>
    </xf>
    <xf numFmtId="49" fontId="1" fillId="0" borderId="0" xfId="0" applyNumberFormat="1" applyFont="1" applyAlignment="1">
      <alignment horizontal="center"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3" fillId="0" borderId="0" xfId="0" applyFont="1" applyAlignment="1">
      <alignment horizontal="center" vertical="center"/>
    </xf>
    <xf numFmtId="164"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0" fontId="1" fillId="0" borderId="1" xfId="0" applyFont="1" applyBorder="1" applyAlignment="1">
      <alignment vertical="center"/>
    </xf>
    <xf numFmtId="4" fontId="1" fillId="0" borderId="1" xfId="0" applyNumberFormat="1" applyFont="1" applyBorder="1" applyAlignment="1">
      <alignment vertical="center"/>
    </xf>
    <xf numFmtId="0" fontId="1" fillId="0" borderId="0" xfId="0" applyFont="1" applyAlignment="1">
      <alignment vertical="center"/>
    </xf>
    <xf numFmtId="0" fontId="1" fillId="0" borderId="0" xfId="0" applyFont="1" applyAlignment="1">
      <alignment horizontal="center"/>
    </xf>
    <xf numFmtId="0" fontId="4" fillId="0" borderId="2" xfId="0" applyFont="1" applyBorder="1" applyAlignment="1">
      <alignment vertical="center"/>
    </xf>
    <xf numFmtId="4" fontId="1" fillId="0" borderId="1" xfId="0" applyNumberFormat="1" applyFont="1" applyBorder="1" applyAlignment="1">
      <alignment horizontal="center" vertical="center"/>
    </xf>
    <xf numFmtId="0" fontId="5" fillId="2" borderId="1" xfId="0" applyFont="1" applyFill="1" applyBorder="1" applyAlignment="1">
      <alignment vertical="center"/>
    </xf>
    <xf numFmtId="0" fontId="4" fillId="0" borderId="3" xfId="0" applyFont="1" applyBorder="1" applyAlignment="1">
      <alignment vertical="center"/>
    </xf>
    <xf numFmtId="0" fontId="5" fillId="3" borderId="1" xfId="0" applyFont="1" applyFill="1" applyBorder="1" applyAlignment="1">
      <alignment vertical="center"/>
    </xf>
    <xf numFmtId="0" fontId="6" fillId="0" borderId="0" xfId="0" applyFont="1" applyAlignment="1">
      <alignment vertical="center"/>
    </xf>
    <xf numFmtId="0" fontId="4" fillId="0" borderId="4" xfId="0" applyFont="1" applyBorder="1" applyAlignment="1">
      <alignment vertical="center"/>
    </xf>
    <xf numFmtId="0" fontId="7" fillId="2" borderId="0" xfId="0" applyFont="1" applyFill="1" applyAlignment="1">
      <alignment vertical="center"/>
    </xf>
    <xf numFmtId="0" fontId="7" fillId="2" borderId="1" xfId="0" applyFont="1" applyFill="1" applyBorder="1" applyAlignment="1">
      <alignment horizontal="center" vertical="center"/>
    </xf>
    <xf numFmtId="0" fontId="5" fillId="2"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0" fontId="4" fillId="0" borderId="0" xfId="0" applyFont="1" applyAlignment="1">
      <alignment vertical="center"/>
    </xf>
    <xf numFmtId="0" fontId="5" fillId="3" borderId="3" xfId="0" applyFont="1" applyFill="1" applyBorder="1" applyAlignment="1">
      <alignment vertical="center"/>
    </xf>
    <xf numFmtId="4" fontId="8" fillId="3"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3" fillId="0" borderId="1" xfId="0" applyFont="1" applyBorder="1" applyAlignment="1">
      <alignment horizontal="center" vertical="center"/>
    </xf>
    <xf numFmtId="49" fontId="1" fillId="0" borderId="0" xfId="0" applyNumberFormat="1" applyFont="1" applyAlignment="1">
      <alignment horizontal="center" vertical="center"/>
    </xf>
    <xf numFmtId="49" fontId="7" fillId="2" borderId="1" xfId="0" applyNumberFormat="1" applyFont="1" applyFill="1" applyBorder="1" applyAlignment="1">
      <alignment horizontal="center" vertical="center"/>
    </xf>
    <xf numFmtId="0" fontId="4" fillId="0" borderId="1" xfId="0" applyFont="1" applyBorder="1" applyAlignment="1">
      <alignment vertical="center"/>
    </xf>
    <xf numFmtId="0" fontId="5"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 fillId="0" borderId="0" xfId="0" applyFont="1" applyAlignment="1">
      <alignment horizontal="center" vertical="center"/>
    </xf>
    <xf numFmtId="0" fontId="5" fillId="0" borderId="0" xfId="0" applyFont="1" applyAlignment="1">
      <alignment vertical="center"/>
    </xf>
    <xf numFmtId="0" fontId="7" fillId="2" borderId="0" xfId="0" applyFont="1" applyFill="1" applyAlignment="1">
      <alignment horizontal="center" vertical="center"/>
    </xf>
    <xf numFmtId="0" fontId="8" fillId="0" borderId="2" xfId="0" applyFont="1" applyBorder="1" applyAlignment="1">
      <alignment vertical="center"/>
    </xf>
    <xf numFmtId="4" fontId="5" fillId="0" borderId="1" xfId="0" applyNumberFormat="1" applyFont="1" applyBorder="1" applyAlignment="1">
      <alignment horizontal="center"/>
    </xf>
    <xf numFmtId="0" fontId="5" fillId="0" borderId="1" xfId="0" applyFont="1" applyBorder="1" applyAlignment="1">
      <alignment vertical="center"/>
    </xf>
    <xf numFmtId="4" fontId="5" fillId="0" borderId="1" xfId="0" applyNumberFormat="1" applyFont="1" applyBorder="1" applyAlignment="1">
      <alignment horizontal="center" vertical="center"/>
    </xf>
    <xf numFmtId="0" fontId="1" fillId="3" borderId="1" xfId="0" applyFont="1" applyFill="1" applyBorder="1" applyAlignment="1">
      <alignment horizontal="center" vertical="center"/>
    </xf>
    <xf numFmtId="0" fontId="7" fillId="3" borderId="1" xfId="0" applyFont="1" applyFill="1" applyBorder="1" applyAlignment="1">
      <alignment vertical="center"/>
    </xf>
    <xf numFmtId="0" fontId="3" fillId="2"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49" fontId="11" fillId="0" borderId="1" xfId="0" applyNumberFormat="1" applyFont="1" applyBorder="1" applyAlignment="1">
      <alignment horizontal="center" vertical="center"/>
    </xf>
    <xf numFmtId="0" fontId="9" fillId="0" borderId="1" xfId="0" applyFont="1" applyBorder="1" applyAlignment="1">
      <alignment vertical="center"/>
    </xf>
    <xf numFmtId="0" fontId="9" fillId="0" borderId="2" xfId="0" applyFont="1" applyBorder="1" applyAlignment="1">
      <alignment horizontal="center" vertical="center"/>
    </xf>
    <xf numFmtId="4" fontId="9" fillId="0" borderId="1" xfId="0" applyNumberFormat="1" applyFont="1" applyBorder="1" applyAlignment="1">
      <alignment vertical="center"/>
    </xf>
    <xf numFmtId="0" fontId="3" fillId="3" borderId="1" xfId="0" applyFont="1" applyFill="1" applyBorder="1" applyAlignment="1">
      <alignment horizontal="center" vertical="center"/>
    </xf>
    <xf numFmtId="49" fontId="12" fillId="0" borderId="1" xfId="0" applyNumberFormat="1" applyFont="1" applyBorder="1" applyAlignment="1">
      <alignment horizontal="center" vertical="center"/>
    </xf>
    <xf numFmtId="0" fontId="8" fillId="0" borderId="1" xfId="0" applyFont="1" applyBorder="1" applyAlignment="1">
      <alignment horizontal="center" vertical="center"/>
    </xf>
    <xf numFmtId="0" fontId="1" fillId="0" borderId="4" xfId="0" applyFont="1" applyBorder="1" applyAlignment="1">
      <alignment horizontal="center" vertical="center"/>
    </xf>
    <xf numFmtId="0" fontId="13" fillId="0" borderId="1" xfId="0" applyFont="1" applyBorder="1" applyAlignment="1">
      <alignment horizontal="center" vertical="center"/>
    </xf>
    <xf numFmtId="0" fontId="15" fillId="0" borderId="1" xfId="0" applyFont="1" applyBorder="1" applyAlignment="1">
      <alignment horizontal="center" vertical="center"/>
    </xf>
    <xf numFmtId="0" fontId="3" fillId="2" borderId="1" xfId="0" applyFont="1" applyFill="1" applyBorder="1" applyAlignment="1">
      <alignment horizontal="center" wrapText="1"/>
    </xf>
    <xf numFmtId="0" fontId="8" fillId="0" borderId="1" xfId="0" applyFont="1" applyBorder="1" applyAlignment="1">
      <alignment horizontal="center" vertical="center" wrapText="1"/>
    </xf>
    <xf numFmtId="0" fontId="16" fillId="0" borderId="1" xfId="0" applyFont="1" applyBorder="1" applyAlignment="1">
      <alignment horizontal="center" vertical="center"/>
    </xf>
    <xf numFmtId="0" fontId="1" fillId="0" borderId="5" xfId="0" applyFont="1" applyBorder="1" applyAlignment="1">
      <alignment horizontal="center" vertical="center"/>
    </xf>
    <xf numFmtId="0" fontId="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9" fillId="0" borderId="1" xfId="0" applyFont="1" applyBorder="1" applyAlignment="1">
      <alignment horizontal="center" vertical="center"/>
    </xf>
    <xf numFmtId="0" fontId="9" fillId="0" borderId="5" xfId="0" applyFont="1" applyBorder="1" applyAlignment="1">
      <alignment horizontal="center" vertical="center"/>
    </xf>
    <xf numFmtId="0" fontId="6" fillId="0" borderId="1" xfId="0" applyFont="1" applyBorder="1" applyAlignment="1">
      <alignment vertical="center"/>
    </xf>
    <xf numFmtId="0" fontId="20" fillId="0" borderId="1" xfId="0" applyFont="1" applyBorder="1" applyAlignment="1">
      <alignment vertical="center"/>
    </xf>
    <xf numFmtId="0" fontId="20" fillId="0" borderId="1" xfId="0" applyFont="1" applyBorder="1" applyAlignment="1">
      <alignment horizontal="center" vertical="center"/>
    </xf>
    <xf numFmtId="0" fontId="6" fillId="0" borderId="4" xfId="0" applyFont="1" applyBorder="1" applyAlignment="1">
      <alignment vertical="center"/>
    </xf>
    <xf numFmtId="0" fontId="5" fillId="0" borderId="1" xfId="0" applyFont="1" applyBorder="1" applyAlignment="1">
      <alignment horizontal="center" vertical="center"/>
    </xf>
    <xf numFmtId="0" fontId="21" fillId="0" borderId="0" xfId="0" applyFont="1" applyAlignment="1">
      <alignment horizontal="center"/>
    </xf>
    <xf numFmtId="0" fontId="1" fillId="0" borderId="1" xfId="0" applyFont="1" applyBorder="1" applyAlignment="1">
      <alignment horizontal="center"/>
    </xf>
    <xf numFmtId="0" fontId="22" fillId="0" borderId="0" xfId="0" applyFont="1"/>
    <xf numFmtId="0" fontId="9" fillId="0" borderId="0" xfId="0" applyFont="1" applyAlignment="1">
      <alignment horizontal="center"/>
    </xf>
    <xf numFmtId="0" fontId="3" fillId="0" borderId="3" xfId="0" applyFont="1" applyBorder="1" applyAlignment="1">
      <alignment horizontal="center" vertical="center"/>
    </xf>
    <xf numFmtId="0" fontId="23" fillId="0" borderId="1" xfId="0" applyFont="1" applyBorder="1" applyAlignment="1">
      <alignment horizontal="center" vertical="center"/>
    </xf>
    <xf numFmtId="0" fontId="3" fillId="0" borderId="2" xfId="0" applyFont="1" applyBorder="1" applyAlignment="1">
      <alignment horizontal="center" vertical="center"/>
    </xf>
    <xf numFmtId="0" fontId="7" fillId="2" borderId="2" xfId="0" applyFont="1" applyFill="1" applyBorder="1" applyAlignment="1">
      <alignment vertical="center"/>
    </xf>
    <xf numFmtId="0" fontId="3" fillId="0" borderId="3" xfId="0" applyFont="1" applyBorder="1" applyAlignment="1">
      <alignment vertical="center"/>
    </xf>
    <xf numFmtId="3" fontId="23" fillId="4" borderId="1" xfId="0" applyNumberFormat="1" applyFont="1" applyFill="1" applyBorder="1" applyAlignment="1">
      <alignment horizontal="center" vertical="center"/>
    </xf>
    <xf numFmtId="0" fontId="5" fillId="3" borderId="4" xfId="0" applyFont="1" applyFill="1" applyBorder="1" applyAlignment="1">
      <alignment vertical="center"/>
    </xf>
    <xf numFmtId="9" fontId="9" fillId="0" borderId="1" xfId="0" applyNumberFormat="1" applyFont="1" applyBorder="1" applyAlignment="1">
      <alignment horizontal="center" vertical="center"/>
    </xf>
    <xf numFmtId="0" fontId="24" fillId="0" borderId="0" xfId="0" applyFont="1"/>
    <xf numFmtId="0" fontId="24" fillId="2" borderId="0" xfId="0" applyFont="1" applyFill="1"/>
    <xf numFmtId="0" fontId="25" fillId="2" borderId="0" xfId="0" applyFont="1" applyFill="1" applyAlignment="1">
      <alignment horizontal="center"/>
    </xf>
    <xf numFmtId="0" fontId="27" fillId="0" borderId="8" xfId="0" applyFont="1" applyBorder="1" applyAlignment="1">
      <alignment horizontal="center"/>
    </xf>
    <xf numFmtId="0" fontId="28" fillId="5" borderId="9" xfId="0" applyFont="1" applyFill="1" applyBorder="1" applyAlignment="1">
      <alignment horizontal="center" vertical="center"/>
    </xf>
    <xf numFmtId="0" fontId="28" fillId="5" borderId="9" xfId="0" applyFont="1" applyFill="1" applyBorder="1" applyAlignment="1">
      <alignment horizontal="center" vertical="center" wrapText="1"/>
    </xf>
    <xf numFmtId="0" fontId="29" fillId="5" borderId="10" xfId="0" applyFont="1" applyFill="1" applyBorder="1" applyAlignment="1">
      <alignment horizontal="center" vertical="center" wrapText="1"/>
    </xf>
    <xf numFmtId="0" fontId="28" fillId="5" borderId="5"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4" fillId="5" borderId="0" xfId="0" applyFont="1" applyFill="1" applyAlignment="1">
      <alignment horizontal="center" vertical="center"/>
    </xf>
    <xf numFmtId="0" fontId="29" fillId="2" borderId="1" xfId="0" applyFont="1" applyFill="1" applyBorder="1" applyAlignment="1">
      <alignment horizontal="center" vertical="center"/>
    </xf>
    <xf numFmtId="0" fontId="24" fillId="2" borderId="11" xfId="0" applyFont="1" applyFill="1" applyBorder="1" applyAlignment="1">
      <alignment horizontal="center" vertical="center"/>
    </xf>
    <xf numFmtId="49" fontId="24" fillId="2" borderId="11" xfId="0" applyNumberFormat="1" applyFont="1" applyFill="1" applyBorder="1" applyAlignment="1">
      <alignment horizontal="center" vertical="center"/>
    </xf>
    <xf numFmtId="0" fontId="30" fillId="2" borderId="0" xfId="0" applyFont="1" applyFill="1" applyAlignment="1">
      <alignment horizontal="center" vertical="center"/>
    </xf>
    <xf numFmtId="0" fontId="24" fillId="2" borderId="11" xfId="0" applyFont="1" applyFill="1" applyBorder="1" applyAlignment="1">
      <alignment horizontal="center" vertical="center" wrapText="1"/>
    </xf>
    <xf numFmtId="0" fontId="29" fillId="0" borderId="11" xfId="0" applyFont="1" applyBorder="1" applyAlignment="1">
      <alignment horizontal="center" vertical="center"/>
    </xf>
    <xf numFmtId="0" fontId="31" fillId="2" borderId="11" xfId="0" applyFont="1" applyFill="1" applyBorder="1" applyAlignment="1">
      <alignment horizontal="center" vertical="center" wrapText="1"/>
    </xf>
    <xf numFmtId="165" fontId="29" fillId="2" borderId="11" xfId="0" applyNumberFormat="1" applyFont="1" applyFill="1" applyBorder="1" applyAlignment="1">
      <alignment horizontal="center" vertical="center"/>
    </xf>
    <xf numFmtId="0" fontId="24" fillId="0" borderId="11" xfId="0" applyFont="1" applyBorder="1" applyAlignment="1">
      <alignment vertical="center"/>
    </xf>
    <xf numFmtId="49" fontId="24" fillId="0" borderId="11" xfId="0" applyNumberFormat="1" applyFont="1" applyBorder="1" applyAlignment="1">
      <alignment vertical="center"/>
    </xf>
    <xf numFmtId="49" fontId="24" fillId="0" borderId="1" xfId="0" applyNumberFormat="1" applyFont="1" applyBorder="1" applyAlignment="1">
      <alignment vertical="center"/>
    </xf>
    <xf numFmtId="0" fontId="24" fillId="0" borderId="1" xfId="0" applyFont="1" applyBorder="1" applyAlignment="1">
      <alignment vertical="center"/>
    </xf>
    <xf numFmtId="0" fontId="24" fillId="0" borderId="1" xfId="0" applyFont="1" applyBorder="1" applyAlignment="1">
      <alignment horizontal="center" vertical="center"/>
    </xf>
    <xf numFmtId="0" fontId="24" fillId="0" borderId="1" xfId="0" applyFont="1" applyBorder="1"/>
    <xf numFmtId="0" fontId="24" fillId="2" borderId="1" xfId="0" applyFont="1" applyFill="1" applyBorder="1" applyAlignment="1">
      <alignment horizontal="center" vertical="center"/>
    </xf>
    <xf numFmtId="49" fontId="32" fillId="2" borderId="1" xfId="0" applyNumberFormat="1" applyFont="1" applyFill="1" applyBorder="1" applyAlignment="1">
      <alignment horizontal="center" vertical="center"/>
    </xf>
    <xf numFmtId="0" fontId="33" fillId="2" borderId="2" xfId="0" applyFont="1" applyFill="1" applyBorder="1" applyAlignment="1">
      <alignment horizontal="center" vertical="center"/>
    </xf>
    <xf numFmtId="0" fontId="24" fillId="2" borderId="1" xfId="0" applyFont="1" applyFill="1" applyBorder="1" applyAlignment="1">
      <alignment horizontal="center" vertical="center" wrapText="1"/>
    </xf>
    <xf numFmtId="0" fontId="29" fillId="0" borderId="1" xfId="0" applyFont="1" applyBorder="1" applyAlignment="1">
      <alignment horizontal="center" vertical="center"/>
    </xf>
    <xf numFmtId="0" fontId="24" fillId="0" borderId="1" xfId="0" applyFont="1" applyBorder="1" applyAlignment="1">
      <alignment horizontal="center" vertical="center" wrapText="1"/>
    </xf>
    <xf numFmtId="165" fontId="24" fillId="0" borderId="1" xfId="0" applyNumberFormat="1" applyFont="1" applyBorder="1" applyAlignment="1">
      <alignment horizontal="center" vertical="center"/>
    </xf>
    <xf numFmtId="49" fontId="24" fillId="0" borderId="1" xfId="0" applyNumberFormat="1" applyFont="1" applyBorder="1" applyAlignment="1">
      <alignment horizontal="center" vertical="center"/>
    </xf>
    <xf numFmtId="0" fontId="31" fillId="2" borderId="0" xfId="0" applyFont="1" applyFill="1" applyAlignment="1">
      <alignment horizontal="center" vertical="center"/>
    </xf>
    <xf numFmtId="49" fontId="10" fillId="2" borderId="1" xfId="0" applyNumberFormat="1" applyFont="1" applyFill="1" applyBorder="1" applyAlignment="1">
      <alignment horizontal="center" vertical="center"/>
    </xf>
    <xf numFmtId="0" fontId="34"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31" fillId="2" borderId="1" xfId="0" applyFont="1" applyFill="1" applyBorder="1" applyAlignment="1">
      <alignment horizontal="center" vertical="center"/>
    </xf>
    <xf numFmtId="0" fontId="35" fillId="2" borderId="0" xfId="0" applyFont="1" applyFill="1" applyAlignment="1">
      <alignment horizontal="left" vertical="center"/>
    </xf>
    <xf numFmtId="165" fontId="29" fillId="2" borderId="1" xfId="0" applyNumberFormat="1" applyFont="1" applyFill="1" applyBorder="1" applyAlignment="1">
      <alignment horizontal="center" vertical="center"/>
    </xf>
    <xf numFmtId="166" fontId="29" fillId="2" borderId="1" xfId="0"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36" fillId="2" borderId="1" xfId="0" applyNumberFormat="1" applyFont="1" applyFill="1" applyBorder="1" applyAlignment="1">
      <alignment horizontal="center" vertical="center"/>
    </xf>
    <xf numFmtId="0" fontId="37" fillId="2" borderId="1" xfId="0" applyFont="1" applyFill="1" applyBorder="1" applyAlignment="1">
      <alignment horizontal="center"/>
    </xf>
    <xf numFmtId="0" fontId="29" fillId="0" borderId="12" xfId="0" applyFont="1" applyBorder="1" applyAlignment="1">
      <alignment horizontal="center" vertical="center"/>
    </xf>
    <xf numFmtId="0" fontId="29" fillId="0" borderId="1" xfId="0" applyFont="1" applyBorder="1" applyAlignment="1">
      <alignment horizontal="center" vertical="center" wrapText="1"/>
    </xf>
    <xf numFmtId="165" fontId="24" fillId="2" borderId="1" xfId="0" applyNumberFormat="1" applyFont="1" applyFill="1" applyBorder="1" applyAlignment="1">
      <alignment vertical="center"/>
    </xf>
    <xf numFmtId="166" fontId="24" fillId="2" borderId="1" xfId="0" applyNumberFormat="1" applyFont="1" applyFill="1" applyBorder="1" applyAlignment="1">
      <alignment vertical="center"/>
    </xf>
    <xf numFmtId="0" fontId="38" fillId="2" borderId="0" xfId="0" applyFont="1" applyFill="1"/>
    <xf numFmtId="0" fontId="24" fillId="2" borderId="1" xfId="0" applyFont="1" applyFill="1" applyBorder="1" applyAlignment="1">
      <alignment vertical="center"/>
    </xf>
    <xf numFmtId="0" fontId="39" fillId="2" borderId="1" xfId="0" applyFont="1" applyFill="1" applyBorder="1" applyAlignment="1">
      <alignment horizontal="center" vertical="center"/>
    </xf>
    <xf numFmtId="0" fontId="32" fillId="2" borderId="1" xfId="0" applyFont="1" applyFill="1" applyBorder="1" applyAlignment="1">
      <alignment horizontal="center" vertical="center" wrapText="1"/>
    </xf>
    <xf numFmtId="0" fontId="40" fillId="0" borderId="0" xfId="0" applyFont="1" applyAlignment="1">
      <alignment horizontal="center" vertical="center"/>
    </xf>
    <xf numFmtId="0" fontId="41" fillId="2" borderId="4" xfId="0" applyFont="1" applyFill="1" applyBorder="1" applyAlignment="1">
      <alignment horizontal="center" vertical="center" wrapText="1"/>
    </xf>
    <xf numFmtId="165" fontId="24" fillId="2" borderId="1" xfId="0" applyNumberFormat="1" applyFont="1" applyFill="1" applyBorder="1" applyAlignment="1">
      <alignment horizontal="center" vertical="center"/>
    </xf>
    <xf numFmtId="166" fontId="24" fillId="2" borderId="1" xfId="0" applyNumberFormat="1" applyFont="1" applyFill="1" applyBorder="1" applyAlignment="1">
      <alignment horizontal="center" vertical="center"/>
    </xf>
    <xf numFmtId="0" fontId="31" fillId="2" borderId="5" xfId="0" applyFont="1" applyFill="1" applyBorder="1" applyAlignment="1">
      <alignment horizontal="center" vertical="center" wrapText="1"/>
    </xf>
    <xf numFmtId="49" fontId="31" fillId="2" borderId="4" xfId="0" applyNumberFormat="1" applyFont="1" applyFill="1" applyBorder="1" applyAlignment="1">
      <alignment horizontal="center" vertical="center"/>
    </xf>
    <xf numFmtId="0" fontId="38" fillId="2" borderId="1" xfId="0" applyFont="1" applyFill="1" applyBorder="1" applyAlignment="1">
      <alignment horizontal="center" vertical="center"/>
    </xf>
    <xf numFmtId="0" fontId="42" fillId="2" borderId="0" xfId="0" applyFont="1" applyFill="1" applyAlignment="1">
      <alignment horizontal="center" vertical="center" wrapText="1"/>
    </xf>
    <xf numFmtId="0" fontId="41" fillId="2" borderId="2" xfId="0" applyFont="1" applyFill="1" applyBorder="1" applyAlignment="1">
      <alignment horizontal="center" vertical="center" wrapText="1"/>
    </xf>
    <xf numFmtId="49" fontId="31" fillId="2" borderId="0" xfId="0" applyNumberFormat="1" applyFont="1" applyFill="1" applyAlignment="1">
      <alignment horizontal="center" vertical="center"/>
    </xf>
    <xf numFmtId="0" fontId="38" fillId="2" borderId="13" xfId="0" applyFont="1" applyFill="1" applyBorder="1" applyAlignment="1">
      <alignment horizontal="center" vertical="center"/>
    </xf>
    <xf numFmtId="0" fontId="31" fillId="2" borderId="1" xfId="0" applyFont="1" applyFill="1" applyBorder="1" applyAlignment="1">
      <alignment horizontal="center" vertical="center" wrapText="1"/>
    </xf>
    <xf numFmtId="0" fontId="24" fillId="2" borderId="0" xfId="0" applyFont="1" applyFill="1" applyAlignment="1">
      <alignment vertical="top"/>
    </xf>
    <xf numFmtId="0" fontId="27" fillId="5" borderId="10" xfId="0" applyFont="1" applyFill="1" applyBorder="1" applyAlignment="1">
      <alignment vertical="center"/>
    </xf>
    <xf numFmtId="0" fontId="43" fillId="5" borderId="10" xfId="0" applyFont="1" applyFill="1" applyBorder="1" applyAlignment="1">
      <alignment horizontal="center" vertical="center"/>
    </xf>
    <xf numFmtId="0" fontId="43" fillId="5" borderId="10" xfId="0" applyFont="1" applyFill="1" applyBorder="1" applyAlignment="1">
      <alignment horizontal="center" vertical="center" wrapText="1"/>
    </xf>
    <xf numFmtId="0" fontId="43" fillId="5" borderId="14" xfId="0" applyFont="1" applyFill="1" applyBorder="1" applyAlignment="1">
      <alignment horizontal="center" vertical="center"/>
    </xf>
    <xf numFmtId="0" fontId="24" fillId="0" borderId="3" xfId="0" applyFont="1" applyBorder="1"/>
    <xf numFmtId="0" fontId="44" fillId="2" borderId="3" xfId="0" applyFont="1" applyFill="1" applyBorder="1"/>
    <xf numFmtId="0" fontId="24" fillId="2" borderId="3" xfId="0" applyFont="1" applyFill="1" applyBorder="1"/>
    <xf numFmtId="166" fontId="24" fillId="0" borderId="3" xfId="0" applyNumberFormat="1" applyFont="1" applyBorder="1"/>
    <xf numFmtId="0" fontId="32" fillId="2" borderId="1" xfId="0" applyFont="1" applyFill="1" applyBorder="1" applyAlignment="1">
      <alignment horizontal="center" vertical="center"/>
    </xf>
    <xf numFmtId="49" fontId="45" fillId="2" borderId="1" xfId="0" applyNumberFormat="1" applyFont="1" applyFill="1" applyBorder="1" applyAlignment="1">
      <alignment horizontal="center" vertical="center"/>
    </xf>
    <xf numFmtId="0" fontId="32" fillId="2" borderId="12" xfId="0" applyFont="1" applyFill="1" applyBorder="1" applyAlignment="1">
      <alignment horizontal="center" vertical="center" wrapText="1"/>
    </xf>
    <xf numFmtId="166" fontId="32" fillId="2" borderId="1" xfId="0" applyNumberFormat="1" applyFont="1" applyFill="1" applyBorder="1" applyAlignment="1">
      <alignment horizontal="center" vertical="center"/>
    </xf>
    <xf numFmtId="0" fontId="32" fillId="0" borderId="1" xfId="0" applyFont="1" applyBorder="1" applyAlignment="1">
      <alignment horizontal="center" vertical="center"/>
    </xf>
    <xf numFmtId="0" fontId="32" fillId="0" borderId="1" xfId="0" applyFont="1" applyBorder="1" applyAlignment="1">
      <alignment horizontal="center" vertical="center" wrapText="1"/>
    </xf>
    <xf numFmtId="166" fontId="32" fillId="0" borderId="1" xfId="0" applyNumberFormat="1" applyFont="1" applyBorder="1" applyAlignment="1">
      <alignment horizontal="center" vertical="center"/>
    </xf>
    <xf numFmtId="166" fontId="32" fillId="2" borderId="12" xfId="0" applyNumberFormat="1" applyFont="1" applyFill="1" applyBorder="1" applyAlignment="1">
      <alignment horizontal="center" vertical="center"/>
    </xf>
    <xf numFmtId="165" fontId="32" fillId="2" borderId="1" xfId="0" applyNumberFormat="1" applyFont="1" applyFill="1" applyBorder="1" applyAlignment="1">
      <alignment horizontal="center" vertical="center"/>
    </xf>
    <xf numFmtId="0" fontId="9" fillId="0" borderId="1" xfId="0" applyFont="1" applyBorder="1"/>
    <xf numFmtId="0" fontId="46" fillId="0" borderId="0" xfId="0" applyFont="1" applyAlignment="1">
      <alignment horizontal="center" vertical="center"/>
    </xf>
    <xf numFmtId="0" fontId="46" fillId="0" borderId="0" xfId="0" applyFont="1" applyAlignment="1">
      <alignment horizontal="center" vertical="center" wrapText="1"/>
    </xf>
    <xf numFmtId="0" fontId="47" fillId="0" borderId="0" xfId="0" applyFont="1" applyAlignment="1">
      <alignment horizontal="center" vertical="center" wrapText="1"/>
    </xf>
    <xf numFmtId="0" fontId="29" fillId="0" borderId="0" xfId="0" applyFont="1" applyAlignment="1">
      <alignment horizontal="center" vertical="center" wrapText="1"/>
    </xf>
    <xf numFmtId="0" fontId="48" fillId="0" borderId="1" xfId="0" applyFont="1" applyBorder="1" applyAlignment="1">
      <alignment vertical="center"/>
    </xf>
    <xf numFmtId="0" fontId="9" fillId="0" borderId="1" xfId="0" applyFont="1" applyBorder="1" applyAlignment="1">
      <alignment horizontal="center" vertical="center" wrapText="1"/>
    </xf>
    <xf numFmtId="0" fontId="9" fillId="2" borderId="1" xfId="0" applyFont="1" applyFill="1" applyBorder="1" applyAlignment="1">
      <alignment horizontal="center" vertical="center"/>
    </xf>
    <xf numFmtId="49" fontId="49" fillId="0" borderId="1" xfId="0" applyNumberFormat="1" applyFont="1" applyBorder="1" applyAlignment="1">
      <alignment vertical="center"/>
    </xf>
    <xf numFmtId="0" fontId="50" fillId="0" borderId="1" xfId="0" applyFont="1" applyBorder="1" applyAlignment="1">
      <alignment vertical="center"/>
    </xf>
    <xf numFmtId="0" fontId="9" fillId="0" borderId="0" xfId="0" applyFont="1" applyAlignment="1">
      <alignment horizontal="center" vertical="center"/>
    </xf>
    <xf numFmtId="0" fontId="51" fillId="2" borderId="1" xfId="0" applyFont="1" applyFill="1" applyBorder="1" applyAlignment="1">
      <alignment vertical="center"/>
    </xf>
    <xf numFmtId="0" fontId="52" fillId="2" borderId="1" xfId="0" applyFont="1" applyFill="1" applyBorder="1" applyAlignment="1">
      <alignment vertical="center"/>
    </xf>
    <xf numFmtId="0" fontId="46" fillId="0" borderId="15" xfId="0" applyFont="1" applyBorder="1" applyAlignment="1">
      <alignment horizontal="center" vertical="center"/>
    </xf>
    <xf numFmtId="0" fontId="46" fillId="0" borderId="15" xfId="0" applyFont="1" applyBorder="1" applyAlignment="1">
      <alignment horizontal="center" vertical="center" wrapText="1"/>
    </xf>
    <xf numFmtId="0" fontId="46" fillId="6" borderId="16" xfId="0" applyFont="1" applyFill="1" applyBorder="1" applyAlignment="1">
      <alignment horizontal="center" vertical="center" wrapText="1"/>
    </xf>
    <xf numFmtId="0" fontId="47" fillId="0" borderId="17" xfId="0" applyFont="1" applyBorder="1" applyAlignment="1">
      <alignment horizontal="center" vertical="center" wrapText="1"/>
    </xf>
    <xf numFmtId="0" fontId="29" fillId="0" borderId="17" xfId="0" applyFont="1" applyBorder="1" applyAlignment="1">
      <alignment horizontal="center" vertical="center" wrapText="1"/>
    </xf>
    <xf numFmtId="0" fontId="24" fillId="0" borderId="18" xfId="0" applyFont="1" applyBorder="1" applyAlignment="1">
      <alignment horizontal="center" vertical="center"/>
    </xf>
    <xf numFmtId="0" fontId="24" fillId="0" borderId="11" xfId="0" applyFont="1" applyBorder="1"/>
    <xf numFmtId="0" fontId="24" fillId="0" borderId="11" xfId="0" applyFont="1" applyBorder="1" applyAlignment="1">
      <alignment horizontal="center" vertical="center"/>
    </xf>
    <xf numFmtId="0" fontId="24" fillId="0" borderId="19" xfId="0" applyFont="1" applyBorder="1" applyAlignment="1">
      <alignment horizontal="center" vertical="center"/>
    </xf>
    <xf numFmtId="0" fontId="24" fillId="2" borderId="5" xfId="0" applyFont="1" applyFill="1" applyBorder="1" applyAlignment="1">
      <alignment horizontal="center" vertical="center"/>
    </xf>
    <xf numFmtId="0" fontId="24" fillId="2" borderId="20" xfId="0" applyFont="1" applyFill="1" applyBorder="1" applyAlignment="1">
      <alignment horizontal="center" vertical="center"/>
    </xf>
    <xf numFmtId="0" fontId="24" fillId="0" borderId="1" xfId="0" applyFont="1" applyBorder="1" applyAlignment="1">
      <alignment horizontal="left"/>
    </xf>
    <xf numFmtId="0" fontId="24" fillId="0" borderId="11" xfId="0" applyFont="1" applyBorder="1" applyAlignment="1">
      <alignment horizontal="left" vertical="center"/>
    </xf>
    <xf numFmtId="0" fontId="9" fillId="0" borderId="0" xfId="0" applyFont="1" applyAlignment="1">
      <alignment horizontal="left"/>
    </xf>
    <xf numFmtId="0" fontId="24" fillId="2" borderId="21" xfId="0" applyFont="1" applyFill="1" applyBorder="1" applyAlignment="1">
      <alignment horizontal="center" vertical="center"/>
    </xf>
    <xf numFmtId="0" fontId="24" fillId="0" borderId="22" xfId="0" applyFont="1" applyBorder="1" applyAlignment="1">
      <alignment horizontal="center" vertical="center"/>
    </xf>
    <xf numFmtId="0" fontId="24" fillId="0" borderId="12" xfId="0" applyFont="1" applyBorder="1" applyAlignment="1">
      <alignment horizontal="center" vertical="center"/>
    </xf>
    <xf numFmtId="167" fontId="24" fillId="0" borderId="1" xfId="0" applyNumberFormat="1" applyFont="1" applyBorder="1" applyAlignment="1">
      <alignment horizontal="center" vertical="center"/>
    </xf>
    <xf numFmtId="0" fontId="27" fillId="0" borderId="1" xfId="0" applyFont="1" applyBorder="1" applyAlignment="1">
      <alignment horizontal="center"/>
    </xf>
    <xf numFmtId="0" fontId="43" fillId="7" borderId="1" xfId="0" applyFont="1" applyFill="1" applyBorder="1" applyAlignment="1">
      <alignment horizontal="center" vertical="center"/>
    </xf>
    <xf numFmtId="0" fontId="43" fillId="7" borderId="1" xfId="0" applyFont="1" applyFill="1" applyBorder="1" applyAlignment="1">
      <alignment horizontal="center" vertical="center" wrapText="1"/>
    </xf>
    <xf numFmtId="49" fontId="27" fillId="7" borderId="1" xfId="0" applyNumberFormat="1" applyFont="1" applyFill="1" applyBorder="1" applyAlignment="1">
      <alignment horizontal="center" vertical="center" wrapText="1"/>
    </xf>
    <xf numFmtId="0" fontId="53" fillId="7" borderId="1"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49" fontId="24" fillId="2" borderId="1" xfId="0" applyNumberFormat="1" applyFont="1" applyFill="1" applyBorder="1" applyAlignment="1">
      <alignment horizontal="center" vertical="center"/>
    </xf>
    <xf numFmtId="0" fontId="31" fillId="2" borderId="0" xfId="0" applyFont="1" applyFill="1" applyAlignment="1">
      <alignment horizontal="center" vertical="center" wrapText="1"/>
    </xf>
    <xf numFmtId="0" fontId="29" fillId="0" borderId="12" xfId="0" applyFont="1" applyBorder="1" applyAlignment="1">
      <alignment horizontal="center" vertical="center" wrapText="1"/>
    </xf>
    <xf numFmtId="166" fontId="29" fillId="0" borderId="12" xfId="0" applyNumberFormat="1" applyFont="1" applyBorder="1" applyAlignment="1">
      <alignment horizontal="center" vertical="center"/>
    </xf>
    <xf numFmtId="0" fontId="24" fillId="8" borderId="0" xfId="0" applyFont="1" applyFill="1"/>
    <xf numFmtId="49" fontId="24" fillId="0" borderId="0" xfId="0" applyNumberFormat="1" applyFont="1"/>
    <xf numFmtId="0" fontId="27" fillId="7" borderId="15" xfId="0" applyFont="1" applyFill="1" applyBorder="1"/>
    <xf numFmtId="0" fontId="29" fillId="9" borderId="15" xfId="0" applyFont="1" applyFill="1" applyBorder="1" applyAlignment="1">
      <alignment horizontal="center"/>
    </xf>
    <xf numFmtId="0" fontId="29" fillId="9" borderId="15" xfId="0" applyFont="1" applyFill="1" applyBorder="1" applyAlignment="1">
      <alignment horizontal="center" wrapText="1"/>
    </xf>
    <xf numFmtId="0" fontId="29" fillId="6" borderId="15" xfId="0" applyFont="1" applyFill="1" applyBorder="1" applyAlignment="1">
      <alignment horizontal="center" wrapText="1"/>
    </xf>
    <xf numFmtId="0" fontId="29" fillId="6" borderId="15" xfId="0" applyFont="1" applyFill="1" applyBorder="1" applyAlignment="1">
      <alignment horizontal="center"/>
    </xf>
    <xf numFmtId="0" fontId="29" fillId="10" borderId="23" xfId="0" applyFont="1" applyFill="1" applyBorder="1" applyAlignment="1">
      <alignment horizontal="center" wrapText="1"/>
    </xf>
    <xf numFmtId="0" fontId="29" fillId="10" borderId="15" xfId="0" applyFont="1" applyFill="1" applyBorder="1" applyAlignment="1">
      <alignment horizontal="center"/>
    </xf>
    <xf numFmtId="0" fontId="29" fillId="10" borderId="15" xfId="0" applyFont="1" applyFill="1" applyBorder="1" applyAlignment="1">
      <alignment horizontal="center" wrapText="1"/>
    </xf>
    <xf numFmtId="0" fontId="24" fillId="0" borderId="24" xfId="0" applyFont="1" applyBorder="1"/>
    <xf numFmtId="0" fontId="55" fillId="0" borderId="0" xfId="0" applyFont="1" applyAlignment="1">
      <alignment horizontal="center"/>
    </xf>
    <xf numFmtId="0" fontId="24" fillId="10" borderId="22" xfId="0" applyFont="1" applyFill="1" applyBorder="1"/>
    <xf numFmtId="0" fontId="24" fillId="10" borderId="0" xfId="0" applyFont="1" applyFill="1"/>
    <xf numFmtId="0" fontId="24" fillId="0" borderId="20" xfId="0" applyFont="1" applyBorder="1"/>
    <xf numFmtId="0" fontId="24" fillId="10" borderId="3" xfId="0" applyFont="1" applyFill="1" applyBorder="1"/>
    <xf numFmtId="0" fontId="29" fillId="0" borderId="1" xfId="0" applyFont="1" applyBorder="1" applyAlignment="1">
      <alignment horizontal="center"/>
    </xf>
    <xf numFmtId="0" fontId="29" fillId="0" borderId="1" xfId="0" applyFont="1" applyBorder="1"/>
    <xf numFmtId="0" fontId="24" fillId="0" borderId="1" xfId="0" applyFont="1" applyBorder="1" applyAlignment="1">
      <alignment wrapText="1"/>
    </xf>
    <xf numFmtId="0" fontId="29" fillId="0" borderId="12" xfId="0" applyFont="1" applyBorder="1" applyAlignment="1">
      <alignment wrapText="1"/>
    </xf>
    <xf numFmtId="166" fontId="29" fillId="0" borderId="1" xfId="0" applyNumberFormat="1" applyFont="1" applyBorder="1" applyAlignment="1">
      <alignment horizontal="center"/>
    </xf>
    <xf numFmtId="166" fontId="24" fillId="0" borderId="1" xfId="0" applyNumberFormat="1" applyFont="1" applyBorder="1" applyAlignment="1">
      <alignment horizontal="center"/>
    </xf>
    <xf numFmtId="0" fontId="29" fillId="0" borderId="11" xfId="0" applyFont="1" applyBorder="1" applyAlignment="1">
      <alignment horizontal="center"/>
    </xf>
    <xf numFmtId="0" fontId="29" fillId="0" borderId="12" xfId="0" applyFont="1" applyBorder="1"/>
    <xf numFmtId="0" fontId="24" fillId="2" borderId="12" xfId="0" applyFont="1" applyFill="1" applyBorder="1" applyAlignment="1">
      <alignment horizontal="center"/>
    </xf>
    <xf numFmtId="0" fontId="29" fillId="2" borderId="12" xfId="0" applyFont="1" applyFill="1" applyBorder="1"/>
    <xf numFmtId="166" fontId="29" fillId="0" borderId="12" xfId="0" applyNumberFormat="1" applyFont="1" applyBorder="1" applyAlignment="1">
      <alignment horizontal="center"/>
    </xf>
    <xf numFmtId="165" fontId="29" fillId="10" borderId="0" xfId="0" applyNumberFormat="1" applyFont="1" applyFill="1" applyAlignment="1">
      <alignment horizontal="center"/>
    </xf>
    <xf numFmtId="0" fontId="24" fillId="10" borderId="12" xfId="0" applyFont="1" applyFill="1" applyBorder="1"/>
    <xf numFmtId="0" fontId="24" fillId="0" borderId="12" xfId="0" applyFont="1" applyBorder="1"/>
    <xf numFmtId="0" fontId="29" fillId="0" borderId="12" xfId="0" applyFont="1" applyBorder="1" applyAlignment="1">
      <alignment horizontal="center" wrapText="1"/>
    </xf>
    <xf numFmtId="0" fontId="29" fillId="11" borderId="12" xfId="0" applyFont="1" applyFill="1" applyBorder="1" applyAlignment="1">
      <alignment wrapText="1"/>
    </xf>
    <xf numFmtId="0" fontId="29" fillId="0" borderId="1" xfId="0" applyFont="1" applyBorder="1" applyAlignment="1">
      <alignment wrapText="1"/>
    </xf>
    <xf numFmtId="0" fontId="24" fillId="0" borderId="0" xfId="0" applyFont="1" applyAlignment="1">
      <alignment horizontal="center"/>
    </xf>
    <xf numFmtId="0" fontId="29" fillId="0" borderId="1" xfId="0" applyFont="1" applyBorder="1" applyAlignment="1">
      <alignment horizontal="center" wrapText="1"/>
    </xf>
    <xf numFmtId="0" fontId="29" fillId="9" borderId="1" xfId="0" applyFont="1" applyFill="1" applyBorder="1" applyAlignment="1">
      <alignment horizontal="center"/>
    </xf>
    <xf numFmtId="166" fontId="24" fillId="0" borderId="1" xfId="0" applyNumberFormat="1" applyFont="1" applyBorder="1"/>
    <xf numFmtId="0" fontId="24" fillId="2" borderId="12" xfId="0" applyFont="1" applyFill="1" applyBorder="1"/>
    <xf numFmtId="0" fontId="24" fillId="10" borderId="11" xfId="0" applyFont="1" applyFill="1" applyBorder="1"/>
    <xf numFmtId="0" fontId="29" fillId="10" borderId="12" xfId="0" applyFont="1" applyFill="1" applyBorder="1" applyAlignment="1">
      <alignment horizontal="center"/>
    </xf>
    <xf numFmtId="0" fontId="29" fillId="12" borderId="1" xfId="0" applyFont="1" applyFill="1" applyBorder="1"/>
    <xf numFmtId="165" fontId="29" fillId="10" borderId="12" xfId="0" applyNumberFormat="1" applyFont="1" applyFill="1" applyBorder="1" applyAlignment="1">
      <alignment horizontal="center"/>
    </xf>
    <xf numFmtId="166" fontId="24" fillId="0" borderId="12" xfId="0" applyNumberFormat="1" applyFont="1" applyBorder="1" applyAlignment="1">
      <alignment horizontal="center"/>
    </xf>
    <xf numFmtId="166" fontId="29" fillId="10" borderId="12" xfId="0" applyNumberFormat="1" applyFont="1" applyFill="1" applyBorder="1" applyAlignment="1">
      <alignment horizontal="center"/>
    </xf>
    <xf numFmtId="0" fontId="29" fillId="2" borderId="12" xfId="0" applyFont="1" applyFill="1" applyBorder="1" applyAlignment="1">
      <alignment wrapText="1"/>
    </xf>
    <xf numFmtId="0" fontId="29" fillId="0" borderId="12" xfId="0" applyFont="1" applyBorder="1" applyAlignment="1">
      <alignment horizontal="center"/>
    </xf>
    <xf numFmtId="0" fontId="29" fillId="8" borderId="12" xfId="0" applyFont="1" applyFill="1" applyBorder="1"/>
    <xf numFmtId="0" fontId="29" fillId="11" borderId="12" xfId="0" applyFont="1" applyFill="1" applyBorder="1"/>
    <xf numFmtId="165" fontId="29" fillId="0" borderId="12" xfId="0" applyNumberFormat="1" applyFont="1" applyBorder="1" applyAlignment="1">
      <alignment horizontal="center" wrapText="1"/>
    </xf>
    <xf numFmtId="165" fontId="29" fillId="0" borderId="12" xfId="0" applyNumberFormat="1" applyFont="1" applyBorder="1" applyAlignment="1">
      <alignment horizontal="center"/>
    </xf>
    <xf numFmtId="0" fontId="29" fillId="2" borderId="1" xfId="0" applyFont="1" applyFill="1" applyBorder="1"/>
    <xf numFmtId="0" fontId="29" fillId="2" borderId="5" xfId="0" applyFont="1" applyFill="1" applyBorder="1" applyAlignment="1">
      <alignment wrapText="1"/>
    </xf>
    <xf numFmtId="0" fontId="29" fillId="0" borderId="5" xfId="0" applyFont="1" applyBorder="1"/>
    <xf numFmtId="0" fontId="24" fillId="2" borderId="5" xfId="0" applyFont="1" applyFill="1" applyBorder="1"/>
    <xf numFmtId="168" fontId="29" fillId="0" borderId="12" xfId="0" applyNumberFormat="1" applyFont="1" applyBorder="1" applyAlignment="1">
      <alignment horizontal="center"/>
    </xf>
    <xf numFmtId="168" fontId="24" fillId="0" borderId="12" xfId="0" applyNumberFormat="1" applyFont="1" applyBorder="1"/>
    <xf numFmtId="165" fontId="24" fillId="10" borderId="12" xfId="0" applyNumberFormat="1" applyFont="1" applyFill="1" applyBorder="1"/>
    <xf numFmtId="0" fontId="29" fillId="11" borderId="1" xfId="0" applyFont="1" applyFill="1" applyBorder="1"/>
    <xf numFmtId="0" fontId="24" fillId="11" borderId="12" xfId="0" applyFont="1" applyFill="1" applyBorder="1"/>
    <xf numFmtId="165" fontId="29" fillId="0" borderId="1" xfId="0" applyNumberFormat="1" applyFont="1" applyBorder="1" applyAlignment="1">
      <alignment horizontal="center"/>
    </xf>
    <xf numFmtId="165" fontId="29" fillId="10" borderId="1" xfId="0" applyNumberFormat="1" applyFont="1" applyFill="1" applyBorder="1" applyAlignment="1">
      <alignment horizontal="center"/>
    </xf>
    <xf numFmtId="0" fontId="24" fillId="10" borderId="1" xfId="0" applyFont="1" applyFill="1" applyBorder="1"/>
    <xf numFmtId="0" fontId="29" fillId="0" borderId="11" xfId="0" applyFont="1" applyBorder="1"/>
    <xf numFmtId="166" fontId="29" fillId="0" borderId="11" xfId="0" applyNumberFormat="1" applyFont="1" applyBorder="1" applyAlignment="1">
      <alignment horizontal="center"/>
    </xf>
    <xf numFmtId="165" fontId="24" fillId="0" borderId="11" xfId="0" applyNumberFormat="1" applyFont="1" applyBorder="1"/>
    <xf numFmtId="165" fontId="29" fillId="10" borderId="11" xfId="0" applyNumberFormat="1" applyFont="1" applyFill="1" applyBorder="1" applyAlignment="1">
      <alignment horizontal="center"/>
    </xf>
    <xf numFmtId="166" fontId="29" fillId="10" borderId="11" xfId="0" applyNumberFormat="1" applyFont="1" applyFill="1" applyBorder="1" applyAlignment="1">
      <alignment horizontal="center"/>
    </xf>
    <xf numFmtId="0" fontId="29" fillId="11" borderId="11" xfId="0" applyFont="1" applyFill="1" applyBorder="1"/>
    <xf numFmtId="0" fontId="29" fillId="0" borderId="11" xfId="0" applyFont="1" applyBorder="1" applyAlignment="1">
      <alignment wrapText="1"/>
    </xf>
    <xf numFmtId="166" fontId="24" fillId="0" borderId="11" xfId="0" applyNumberFormat="1" applyFont="1" applyBorder="1"/>
    <xf numFmtId="165" fontId="24" fillId="10" borderId="11" xfId="0" applyNumberFormat="1" applyFont="1" applyFill="1" applyBorder="1"/>
    <xf numFmtId="166" fontId="24" fillId="10" borderId="11" xfId="0" applyNumberFormat="1" applyFont="1" applyFill="1" applyBorder="1"/>
    <xf numFmtId="0" fontId="24" fillId="2" borderId="1" xfId="0" applyFont="1" applyFill="1" applyBorder="1"/>
    <xf numFmtId="0" fontId="24" fillId="11" borderId="11" xfId="0" applyFont="1" applyFill="1" applyBorder="1"/>
    <xf numFmtId="0" fontId="29" fillId="13" borderId="24" xfId="0" applyFont="1" applyFill="1" applyBorder="1"/>
    <xf numFmtId="49" fontId="29" fillId="13" borderId="12" xfId="0" applyNumberFormat="1" applyFont="1" applyFill="1" applyBorder="1"/>
    <xf numFmtId="0" fontId="29" fillId="13" borderId="11" xfId="0" applyFont="1" applyFill="1" applyBorder="1"/>
    <xf numFmtId="0" fontId="29" fillId="13" borderId="12" xfId="0" applyFont="1" applyFill="1" applyBorder="1"/>
    <xf numFmtId="0" fontId="24" fillId="13" borderId="12" xfId="0" applyFont="1" applyFill="1" applyBorder="1"/>
    <xf numFmtId="0" fontId="24" fillId="13" borderId="11" xfId="0" applyFont="1" applyFill="1" applyBorder="1"/>
    <xf numFmtId="166" fontId="24" fillId="13" borderId="11" xfId="0" applyNumberFormat="1" applyFont="1" applyFill="1" applyBorder="1"/>
    <xf numFmtId="165" fontId="24" fillId="13" borderId="11" xfId="0" applyNumberFormat="1" applyFont="1" applyFill="1" applyBorder="1"/>
    <xf numFmtId="0" fontId="29" fillId="0" borderId="24" xfId="0" applyFont="1" applyBorder="1" applyAlignment="1">
      <alignment horizontal="center"/>
    </xf>
    <xf numFmtId="0" fontId="29" fillId="13" borderId="22" xfId="0" applyFont="1" applyFill="1" applyBorder="1"/>
    <xf numFmtId="49" fontId="29" fillId="13" borderId="20" xfId="0" applyNumberFormat="1" applyFont="1" applyFill="1" applyBorder="1"/>
    <xf numFmtId="0" fontId="24" fillId="13" borderId="20" xfId="0" applyFont="1" applyFill="1" applyBorder="1"/>
    <xf numFmtId="0" fontId="29" fillId="13" borderId="7" xfId="0" applyFont="1" applyFill="1" applyBorder="1"/>
    <xf numFmtId="0" fontId="29" fillId="13" borderId="20" xfId="0" applyFont="1" applyFill="1" applyBorder="1"/>
    <xf numFmtId="166" fontId="29" fillId="13" borderId="20" xfId="0" applyNumberFormat="1" applyFont="1" applyFill="1" applyBorder="1" applyAlignment="1">
      <alignment horizontal="center"/>
    </xf>
    <xf numFmtId="166" fontId="24" fillId="13" borderId="20" xfId="0" applyNumberFormat="1" applyFont="1" applyFill="1" applyBorder="1"/>
    <xf numFmtId="49" fontId="24" fillId="2" borderId="3" xfId="0" applyNumberFormat="1" applyFont="1" applyFill="1" applyBorder="1"/>
    <xf numFmtId="166" fontId="24" fillId="2" borderId="3" xfId="0" applyNumberFormat="1" applyFont="1" applyFill="1" applyBorder="1"/>
    <xf numFmtId="165" fontId="24" fillId="2" borderId="3" xfId="0" applyNumberFormat="1" applyFont="1" applyFill="1" applyBorder="1"/>
    <xf numFmtId="49" fontId="29" fillId="6" borderId="12" xfId="0" applyNumberFormat="1" applyFont="1" applyFill="1" applyBorder="1"/>
    <xf numFmtId="49" fontId="24" fillId="11" borderId="12" xfId="0" applyNumberFormat="1" applyFont="1" applyFill="1" applyBorder="1"/>
    <xf numFmtId="49" fontId="24" fillId="7" borderId="12" xfId="0" applyNumberFormat="1" applyFont="1" applyFill="1" applyBorder="1"/>
    <xf numFmtId="49" fontId="29" fillId="11" borderId="1" xfId="0" applyNumberFormat="1" applyFont="1" applyFill="1" applyBorder="1"/>
    <xf numFmtId="166" fontId="29" fillId="10" borderId="1" xfId="0" applyNumberFormat="1" applyFont="1" applyFill="1" applyBorder="1" applyAlignment="1">
      <alignment horizontal="center"/>
    </xf>
    <xf numFmtId="0" fontId="24" fillId="0" borderId="1" xfId="0" applyFont="1" applyBorder="1" applyAlignment="1">
      <alignment horizontal="center"/>
    </xf>
    <xf numFmtId="49" fontId="29" fillId="11" borderId="1" xfId="0" applyNumberFormat="1" applyFont="1" applyFill="1" applyBorder="1" applyAlignment="1">
      <alignment wrapText="1"/>
    </xf>
    <xf numFmtId="0" fontId="29" fillId="11" borderId="5" xfId="0" applyFont="1" applyFill="1" applyBorder="1"/>
    <xf numFmtId="49" fontId="29" fillId="11" borderId="5" xfId="0" applyNumberFormat="1" applyFont="1" applyFill="1" applyBorder="1" applyAlignment="1">
      <alignment wrapText="1"/>
    </xf>
    <xf numFmtId="49" fontId="29" fillId="6" borderId="1" xfId="0" applyNumberFormat="1" applyFont="1" applyFill="1" applyBorder="1"/>
    <xf numFmtId="49" fontId="29" fillId="11" borderId="12" xfId="0" applyNumberFormat="1" applyFont="1" applyFill="1" applyBorder="1"/>
    <xf numFmtId="165" fontId="24" fillId="10" borderId="1" xfId="0" applyNumberFormat="1" applyFont="1" applyFill="1" applyBorder="1"/>
    <xf numFmtId="0" fontId="29" fillId="11" borderId="4" xfId="0" applyFont="1" applyFill="1" applyBorder="1"/>
    <xf numFmtId="49" fontId="29" fillId="11" borderId="5" xfId="0" applyNumberFormat="1" applyFont="1" applyFill="1" applyBorder="1"/>
    <xf numFmtId="0" fontId="24" fillId="11" borderId="1" xfId="0" applyFont="1" applyFill="1" applyBorder="1"/>
    <xf numFmtId="0" fontId="29" fillId="2" borderId="11" xfId="0" applyFont="1" applyFill="1" applyBorder="1" applyAlignment="1">
      <alignment horizontal="center"/>
    </xf>
    <xf numFmtId="166" fontId="24" fillId="2" borderId="12" xfId="0" applyNumberFormat="1" applyFont="1" applyFill="1" applyBorder="1"/>
    <xf numFmtId="49" fontId="24" fillId="13" borderId="12" xfId="0" applyNumberFormat="1" applyFont="1" applyFill="1" applyBorder="1"/>
    <xf numFmtId="166" fontId="29" fillId="2" borderId="12" xfId="0" applyNumberFormat="1" applyFont="1" applyFill="1" applyBorder="1" applyAlignment="1">
      <alignment horizontal="center"/>
    </xf>
    <xf numFmtId="169" fontId="29" fillId="2" borderId="12" xfId="0" applyNumberFormat="1" applyFont="1" applyFill="1" applyBorder="1" applyAlignment="1">
      <alignment horizontal="center"/>
    </xf>
    <xf numFmtId="0" fontId="29" fillId="6" borderId="1" xfId="0" applyFont="1" applyFill="1" applyBorder="1"/>
    <xf numFmtId="0" fontId="29" fillId="6" borderId="5" xfId="0" applyFont="1" applyFill="1" applyBorder="1"/>
    <xf numFmtId="49" fontId="24" fillId="6" borderId="12" xfId="0" applyNumberFormat="1" applyFont="1" applyFill="1" applyBorder="1"/>
    <xf numFmtId="166" fontId="24" fillId="0" borderId="12" xfId="0" applyNumberFormat="1" applyFont="1" applyBorder="1"/>
    <xf numFmtId="0" fontId="29" fillId="9" borderId="12" xfId="0" applyFont="1" applyFill="1" applyBorder="1"/>
    <xf numFmtId="0" fontId="56" fillId="2" borderId="0" xfId="0" applyFont="1" applyFill="1" applyAlignment="1">
      <alignment horizontal="center"/>
    </xf>
    <xf numFmtId="0" fontId="56" fillId="2" borderId="25" xfId="0" applyFont="1" applyFill="1" applyBorder="1" applyAlignment="1">
      <alignment horizontal="center"/>
    </xf>
    <xf numFmtId="0" fontId="57" fillId="0" borderId="0" xfId="0" applyFont="1"/>
    <xf numFmtId="165" fontId="24" fillId="0" borderId="0" xfId="0" applyNumberFormat="1" applyFont="1"/>
    <xf numFmtId="0" fontId="43" fillId="5" borderId="15" xfId="0" applyFont="1" applyFill="1" applyBorder="1" applyAlignment="1">
      <alignment horizontal="center"/>
    </xf>
    <xf numFmtId="0" fontId="24" fillId="2" borderId="12" xfId="0" applyFont="1" applyFill="1" applyBorder="1" applyAlignment="1">
      <alignment horizontal="center" vertical="center"/>
    </xf>
    <xf numFmtId="0" fontId="24" fillId="0" borderId="17" xfId="0" applyFont="1" applyBorder="1" applyAlignment="1">
      <alignment horizontal="center" vertical="center"/>
    </xf>
    <xf numFmtId="0" fontId="24" fillId="2" borderId="26" xfId="0" applyFont="1" applyFill="1" applyBorder="1" applyAlignment="1">
      <alignment horizontal="center" vertical="center"/>
    </xf>
    <xf numFmtId="0" fontId="24" fillId="0" borderId="26" xfId="0" applyFont="1" applyBorder="1" applyAlignment="1">
      <alignment horizontal="center" vertical="center"/>
    </xf>
    <xf numFmtId="165" fontId="24" fillId="14" borderId="1" xfId="0" applyNumberFormat="1" applyFont="1" applyFill="1" applyBorder="1" applyAlignment="1">
      <alignment horizontal="center" vertical="center"/>
    </xf>
    <xf numFmtId="165" fontId="24" fillId="14" borderId="22" xfId="0" applyNumberFormat="1" applyFont="1" applyFill="1" applyBorder="1" applyAlignment="1">
      <alignment horizontal="center" vertical="center"/>
    </xf>
    <xf numFmtId="0" fontId="45" fillId="2" borderId="1" xfId="0" applyFont="1" applyFill="1" applyBorder="1" applyAlignment="1">
      <alignment horizontal="center" vertical="center"/>
    </xf>
    <xf numFmtId="0" fontId="58" fillId="2" borderId="1" xfId="0" applyFont="1" applyFill="1" applyBorder="1" applyAlignment="1">
      <alignment horizontal="center" vertical="center"/>
    </xf>
    <xf numFmtId="0" fontId="24" fillId="2" borderId="17" xfId="0" applyFont="1" applyFill="1" applyBorder="1" applyAlignment="1">
      <alignment horizontal="center" vertical="center"/>
    </xf>
    <xf numFmtId="0" fontId="45" fillId="2" borderId="17" xfId="0" applyFont="1" applyFill="1" applyBorder="1" applyAlignment="1">
      <alignment horizontal="center" vertical="center"/>
    </xf>
    <xf numFmtId="0" fontId="32" fillId="0" borderId="17" xfId="0" applyFont="1" applyBorder="1" applyAlignment="1">
      <alignment horizontal="center" vertical="center"/>
    </xf>
    <xf numFmtId="165" fontId="24" fillId="2" borderId="17" xfId="0" applyNumberFormat="1" applyFont="1" applyFill="1" applyBorder="1" applyAlignment="1">
      <alignment horizontal="center" vertical="center"/>
    </xf>
    <xf numFmtId="0" fontId="24" fillId="0" borderId="20" xfId="0" applyFont="1" applyBorder="1" applyAlignment="1">
      <alignment horizontal="center" vertical="center"/>
    </xf>
    <xf numFmtId="0" fontId="24" fillId="0" borderId="0" xfId="0" applyFont="1" applyAlignment="1">
      <alignment horizontal="center" vertical="center"/>
    </xf>
    <xf numFmtId="165" fontId="24" fillId="0" borderId="11" xfId="0" applyNumberFormat="1" applyFont="1" applyBorder="1" applyAlignment="1">
      <alignment horizontal="center" vertical="center"/>
    </xf>
    <xf numFmtId="165" fontId="24" fillId="0" borderId="17" xfId="0" applyNumberFormat="1" applyFont="1" applyBorder="1" applyAlignment="1">
      <alignment horizontal="center" vertical="center"/>
    </xf>
    <xf numFmtId="0" fontId="24" fillId="2" borderId="22" xfId="0" applyFont="1" applyFill="1" applyBorder="1" applyAlignment="1">
      <alignment horizontal="center" vertical="center"/>
    </xf>
    <xf numFmtId="0" fontId="31" fillId="2" borderId="17" xfId="0" applyFont="1" applyFill="1" applyBorder="1" applyAlignment="1">
      <alignment horizontal="center" vertical="center"/>
    </xf>
    <xf numFmtId="0" fontId="24" fillId="2" borderId="27" xfId="0" applyFont="1" applyFill="1" applyBorder="1" applyAlignment="1">
      <alignment horizontal="center" vertical="center"/>
    </xf>
    <xf numFmtId="0" fontId="24" fillId="0" borderId="27" xfId="0" applyFont="1" applyBorder="1" applyAlignment="1">
      <alignment horizontal="center" vertical="center"/>
    </xf>
    <xf numFmtId="0" fontId="59" fillId="0" borderId="12" xfId="0" applyFont="1" applyBorder="1" applyAlignment="1">
      <alignment horizontal="center" vertical="center"/>
    </xf>
    <xf numFmtId="49" fontId="32" fillId="0" borderId="11" xfId="0" applyNumberFormat="1" applyFont="1" applyBorder="1" applyAlignment="1">
      <alignment horizontal="center" vertical="center"/>
    </xf>
    <xf numFmtId="0" fontId="31" fillId="2" borderId="28" xfId="0" applyFont="1" applyFill="1" applyBorder="1" applyAlignment="1">
      <alignment horizontal="center"/>
    </xf>
    <xf numFmtId="49" fontId="24" fillId="2" borderId="27" xfId="0" applyNumberFormat="1" applyFont="1" applyFill="1" applyBorder="1" applyAlignment="1">
      <alignment horizontal="center" vertical="center"/>
    </xf>
    <xf numFmtId="165" fontId="24" fillId="0" borderId="27" xfId="0" applyNumberFormat="1" applyFont="1" applyBorder="1" applyAlignment="1">
      <alignment horizontal="center" vertical="center"/>
    </xf>
    <xf numFmtId="49" fontId="24" fillId="2" borderId="17" xfId="0" applyNumberFormat="1" applyFont="1" applyFill="1" applyBorder="1" applyAlignment="1">
      <alignment horizontal="center" vertical="center"/>
    </xf>
    <xf numFmtId="49" fontId="32" fillId="0" borderId="12" xfId="0" applyNumberFormat="1" applyFont="1" applyBorder="1" applyAlignment="1">
      <alignment horizontal="center" vertical="center"/>
    </xf>
    <xf numFmtId="49" fontId="32" fillId="0" borderId="26" xfId="0" applyNumberFormat="1" applyFont="1" applyBorder="1" applyAlignment="1">
      <alignment horizontal="center" vertical="center"/>
    </xf>
    <xf numFmtId="0" fontId="24" fillId="0" borderId="11" xfId="0" applyFont="1" applyBorder="1" applyAlignment="1">
      <alignment horizontal="center" vertical="top"/>
    </xf>
    <xf numFmtId="0" fontId="24" fillId="0" borderId="12" xfId="0" applyFont="1" applyBorder="1" applyAlignment="1">
      <alignment horizontal="center" vertical="top"/>
    </xf>
    <xf numFmtId="49" fontId="24" fillId="0" borderId="12" xfId="0" applyNumberFormat="1" applyFont="1" applyBorder="1" applyAlignment="1">
      <alignment horizontal="center" vertical="top"/>
    </xf>
    <xf numFmtId="0" fontId="24" fillId="0" borderId="11" xfId="0" applyFont="1" applyBorder="1" applyAlignment="1">
      <alignment horizontal="center"/>
    </xf>
    <xf numFmtId="165" fontId="24" fillId="0" borderId="11" xfId="0" applyNumberFormat="1" applyFont="1" applyBorder="1" applyAlignment="1">
      <alignment horizontal="center"/>
    </xf>
    <xf numFmtId="0" fontId="24" fillId="2" borderId="11" xfId="0" applyFont="1" applyFill="1" applyBorder="1" applyAlignment="1">
      <alignment horizontal="center"/>
    </xf>
    <xf numFmtId="0" fontId="24" fillId="0" borderId="5" xfId="0" applyFont="1" applyBorder="1" applyAlignment="1">
      <alignment horizontal="center" vertical="center"/>
    </xf>
    <xf numFmtId="0" fontId="31" fillId="2" borderId="11" xfId="0" applyFont="1" applyFill="1" applyBorder="1" applyAlignment="1">
      <alignment horizontal="center" vertical="center"/>
    </xf>
    <xf numFmtId="0" fontId="24" fillId="2" borderId="11" xfId="0" applyFont="1" applyFill="1" applyBorder="1"/>
    <xf numFmtId="165" fontId="24" fillId="0" borderId="1" xfId="0" applyNumberFormat="1" applyFont="1" applyBorder="1"/>
    <xf numFmtId="0" fontId="24" fillId="2" borderId="17" xfId="0" applyFont="1" applyFill="1" applyBorder="1"/>
    <xf numFmtId="165" fontId="24" fillId="0" borderId="17" xfId="0" applyNumberFormat="1" applyFont="1" applyBorder="1"/>
    <xf numFmtId="0" fontId="24" fillId="0" borderId="17" xfId="0" applyFont="1" applyBorder="1"/>
    <xf numFmtId="0" fontId="32" fillId="0" borderId="17" xfId="0" applyFont="1" applyBorder="1" applyAlignment="1">
      <alignment horizontal="center" vertical="center" wrapText="1"/>
    </xf>
    <xf numFmtId="0" fontId="24" fillId="2" borderId="27" xfId="0" applyFont="1" applyFill="1" applyBorder="1"/>
    <xf numFmtId="165" fontId="24" fillId="0" borderId="27" xfId="0" applyNumberFormat="1" applyFont="1" applyBorder="1"/>
    <xf numFmtId="0" fontId="24" fillId="0" borderId="27" xfId="0" applyFont="1" applyBorder="1"/>
    <xf numFmtId="165" fontId="24" fillId="0" borderId="22" xfId="0" applyNumberFormat="1" applyFont="1" applyBorder="1"/>
    <xf numFmtId="0" fontId="24" fillId="2" borderId="29" xfId="0" applyFont="1" applyFill="1" applyBorder="1"/>
    <xf numFmtId="0" fontId="24" fillId="0" borderId="24" xfId="0" applyFont="1" applyBorder="1" applyAlignment="1">
      <alignment horizontal="center"/>
    </xf>
    <xf numFmtId="0" fontId="24" fillId="0" borderId="27" xfId="0" applyFont="1" applyBorder="1" applyAlignment="1">
      <alignment horizontal="center" vertical="top"/>
    </xf>
    <xf numFmtId="0" fontId="24" fillId="0" borderId="29" xfId="0" applyFont="1" applyBorder="1" applyAlignment="1">
      <alignment horizontal="center" vertical="top"/>
    </xf>
    <xf numFmtId="49" fontId="24" fillId="0" borderId="26" xfId="0" applyNumberFormat="1" applyFont="1" applyBorder="1" applyAlignment="1">
      <alignment horizontal="center" vertical="top"/>
    </xf>
    <xf numFmtId="0" fontId="24" fillId="2" borderId="17" xfId="0" applyFont="1" applyFill="1" applyBorder="1" applyAlignment="1">
      <alignment horizontal="center"/>
    </xf>
    <xf numFmtId="0" fontId="24" fillId="0" borderId="17" xfId="0" applyFont="1" applyBorder="1" applyAlignment="1">
      <alignment horizontal="center"/>
    </xf>
    <xf numFmtId="165" fontId="24" fillId="14" borderId="11" xfId="0" applyNumberFormat="1" applyFont="1" applyFill="1" applyBorder="1" applyAlignment="1">
      <alignment horizontal="center"/>
    </xf>
    <xf numFmtId="0" fontId="45" fillId="2" borderId="3" xfId="0" applyFont="1" applyFill="1" applyBorder="1" applyAlignment="1">
      <alignment horizontal="center" vertical="center"/>
    </xf>
    <xf numFmtId="0" fontId="24" fillId="0" borderId="26" xfId="0" applyFont="1" applyBorder="1" applyAlignment="1">
      <alignment horizontal="center" vertical="top"/>
    </xf>
    <xf numFmtId="0" fontId="24" fillId="0" borderId="26" xfId="0" applyFont="1" applyBorder="1" applyAlignment="1">
      <alignment horizontal="center"/>
    </xf>
    <xf numFmtId="165" fontId="24" fillId="2" borderId="27" xfId="0" applyNumberFormat="1" applyFont="1" applyFill="1" applyBorder="1" applyAlignment="1">
      <alignment horizontal="center"/>
    </xf>
    <xf numFmtId="0" fontId="24" fillId="0" borderId="27" xfId="0" applyFont="1" applyBorder="1" applyAlignment="1">
      <alignment horizontal="center"/>
    </xf>
    <xf numFmtId="165" fontId="24" fillId="2" borderId="11" xfId="0" applyNumberFormat="1" applyFont="1" applyFill="1" applyBorder="1" applyAlignment="1">
      <alignment horizontal="center" vertical="center"/>
    </xf>
    <xf numFmtId="0" fontId="24" fillId="2" borderId="1" xfId="0" applyFont="1" applyFill="1" applyBorder="1" applyAlignment="1">
      <alignment horizontal="center"/>
    </xf>
    <xf numFmtId="165" fontId="24" fillId="0" borderId="1" xfId="0" applyNumberFormat="1" applyFont="1" applyBorder="1" applyAlignment="1">
      <alignment horizontal="center"/>
    </xf>
    <xf numFmtId="165" fontId="24" fillId="0" borderId="17" xfId="0" applyNumberFormat="1" applyFont="1" applyBorder="1" applyAlignment="1">
      <alignment horizontal="center"/>
    </xf>
    <xf numFmtId="0" fontId="31" fillId="2" borderId="4" xfId="0" applyFont="1" applyFill="1" applyBorder="1" applyAlignment="1">
      <alignment horizontal="center" vertical="center"/>
    </xf>
    <xf numFmtId="0" fontId="31" fillId="2" borderId="28" xfId="0" applyFont="1" applyFill="1" applyBorder="1" applyAlignment="1">
      <alignment horizontal="center" vertical="center"/>
    </xf>
    <xf numFmtId="0" fontId="24" fillId="2" borderId="27" xfId="0" applyFont="1" applyFill="1" applyBorder="1" applyAlignment="1">
      <alignment horizontal="center"/>
    </xf>
    <xf numFmtId="165" fontId="24" fillId="0" borderId="27" xfId="0" applyNumberFormat="1" applyFont="1" applyBorder="1" applyAlignment="1">
      <alignment horizontal="center"/>
    </xf>
    <xf numFmtId="0" fontId="32" fillId="0" borderId="11" xfId="0" applyFont="1" applyBorder="1" applyAlignment="1">
      <alignment horizontal="center" vertical="center" wrapText="1"/>
    </xf>
    <xf numFmtId="165" fontId="24" fillId="0" borderId="22" xfId="0" applyNumberFormat="1" applyFont="1" applyBorder="1" applyAlignment="1">
      <alignment horizontal="center" vertical="center"/>
    </xf>
    <xf numFmtId="0" fontId="24" fillId="2" borderId="30" xfId="0" applyFont="1" applyFill="1" applyBorder="1" applyAlignment="1">
      <alignment horizontal="center" vertical="center"/>
    </xf>
    <xf numFmtId="165" fontId="24" fillId="0" borderId="30" xfId="0" applyNumberFormat="1" applyFont="1" applyBorder="1" applyAlignment="1">
      <alignment horizontal="center" vertical="center"/>
    </xf>
    <xf numFmtId="0" fontId="24" fillId="0" borderId="30" xfId="0" applyFont="1" applyBorder="1" applyAlignment="1">
      <alignment horizontal="center" vertical="center"/>
    </xf>
    <xf numFmtId="0" fontId="31" fillId="0" borderId="1" xfId="0" applyFont="1" applyBorder="1" applyAlignment="1">
      <alignment horizontal="center" vertical="center"/>
    </xf>
    <xf numFmtId="0" fontId="31" fillId="2" borderId="8" xfId="0" applyFont="1" applyFill="1" applyBorder="1" applyAlignment="1">
      <alignment horizontal="center" vertical="center"/>
    </xf>
    <xf numFmtId="0" fontId="24" fillId="0" borderId="8" xfId="0" applyFont="1" applyBorder="1" applyAlignment="1">
      <alignment horizontal="center" vertical="center"/>
    </xf>
    <xf numFmtId="0" fontId="27" fillId="2" borderId="1" xfId="0" applyFont="1" applyFill="1" applyBorder="1" applyAlignment="1">
      <alignment horizontal="center" vertical="center"/>
    </xf>
    <xf numFmtId="0" fontId="46" fillId="2" borderId="1" xfId="0" applyFont="1" applyFill="1" applyBorder="1" applyAlignment="1">
      <alignment horizontal="center" vertical="center"/>
    </xf>
    <xf numFmtId="165" fontId="24" fillId="2" borderId="0" xfId="0" applyNumberFormat="1" applyFont="1" applyFill="1"/>
    <xf numFmtId="0" fontId="44" fillId="2" borderId="0" xfId="0" applyFont="1" applyFill="1" applyAlignment="1">
      <alignment horizontal="center"/>
    </xf>
    <xf numFmtId="0" fontId="27" fillId="2" borderId="0" xfId="0" applyFont="1" applyFill="1" applyAlignment="1">
      <alignment horizontal="center"/>
    </xf>
    <xf numFmtId="0" fontId="24" fillId="2" borderId="0" xfId="0" applyFont="1" applyFill="1" applyAlignment="1">
      <alignment horizontal="right"/>
    </xf>
    <xf numFmtId="165" fontId="24" fillId="2" borderId="0" xfId="0" applyNumberFormat="1" applyFont="1" applyFill="1" applyAlignment="1">
      <alignment horizontal="center"/>
    </xf>
    <xf numFmtId="0" fontId="24" fillId="2" borderId="0" xfId="0" applyFont="1" applyFill="1" applyAlignment="1">
      <alignment horizontal="center"/>
    </xf>
    <xf numFmtId="0" fontId="24" fillId="0" borderId="0" xfId="0" applyFont="1" applyAlignment="1">
      <alignment horizontal="right"/>
    </xf>
    <xf numFmtId="0" fontId="44" fillId="2" borderId="0" xfId="0" applyFont="1" applyFill="1" applyAlignment="1">
      <alignment horizontal="center" vertical="center"/>
    </xf>
    <xf numFmtId="0" fontId="9" fillId="2" borderId="0" xfId="0" applyFont="1" applyFill="1"/>
    <xf numFmtId="0" fontId="44" fillId="2" borderId="0" xfId="0" applyFont="1" applyFill="1" applyAlignment="1">
      <alignment horizontal="center" vertical="top"/>
    </xf>
    <xf numFmtId="0" fontId="46" fillId="2" borderId="0" xfId="0" applyFont="1" applyFill="1" applyAlignment="1">
      <alignment horizontal="center"/>
    </xf>
    <xf numFmtId="0" fontId="31" fillId="2" borderId="0" xfId="0" applyFont="1" applyFill="1"/>
    <xf numFmtId="0" fontId="27" fillId="2" borderId="31" xfId="0" applyFont="1" applyFill="1" applyBorder="1" applyAlignment="1">
      <alignment horizontal="center"/>
    </xf>
    <xf numFmtId="0" fontId="24" fillId="0" borderId="0" xfId="0" applyFont="1" applyAlignment="1">
      <alignment vertical="top"/>
    </xf>
    <xf numFmtId="0" fontId="24" fillId="0" borderId="25" xfId="0" applyFont="1" applyBorder="1" applyAlignment="1">
      <alignment vertical="top"/>
    </xf>
    <xf numFmtId="0" fontId="24" fillId="0" borderId="25" xfId="0" applyFont="1" applyBorder="1"/>
    <xf numFmtId="0" fontId="24" fillId="2" borderId="25" xfId="0" applyFont="1" applyFill="1" applyBorder="1"/>
    <xf numFmtId="165" fontId="24" fillId="0" borderId="25" xfId="0" applyNumberFormat="1" applyFont="1" applyBorder="1"/>
    <xf numFmtId="0" fontId="44" fillId="12" borderId="0" xfId="0" applyFont="1" applyFill="1" applyAlignment="1">
      <alignment horizontal="center"/>
    </xf>
    <xf numFmtId="0" fontId="27" fillId="15" borderId="0" xfId="0" applyFont="1" applyFill="1" applyAlignment="1">
      <alignment horizontal="center"/>
    </xf>
    <xf numFmtId="0" fontId="27" fillId="15" borderId="5" xfId="0" applyFont="1" applyFill="1" applyBorder="1" applyAlignment="1">
      <alignment horizontal="center"/>
    </xf>
    <xf numFmtId="0" fontId="27" fillId="16" borderId="1" xfId="0" applyFont="1" applyFill="1" applyBorder="1" applyAlignment="1">
      <alignment horizontal="center"/>
    </xf>
    <xf numFmtId="0" fontId="24" fillId="0" borderId="5" xfId="0" applyFont="1" applyBorder="1" applyAlignment="1">
      <alignment vertical="top"/>
    </xf>
    <xf numFmtId="165" fontId="24" fillId="14" borderId="1" xfId="0" applyNumberFormat="1" applyFont="1" applyFill="1" applyBorder="1" applyAlignment="1">
      <alignment horizontal="center"/>
    </xf>
    <xf numFmtId="0" fontId="24" fillId="0" borderId="11" xfId="0" applyFont="1" applyBorder="1" applyAlignment="1">
      <alignment vertical="top"/>
    </xf>
    <xf numFmtId="0" fontId="24" fillId="0" borderId="1" xfId="0" applyFont="1" applyBorder="1" applyAlignment="1">
      <alignment vertical="top"/>
    </xf>
    <xf numFmtId="0" fontId="24" fillId="0" borderId="12" xfId="0" applyFont="1" applyBorder="1" applyAlignment="1">
      <alignment vertical="top"/>
    </xf>
    <xf numFmtId="0" fontId="24" fillId="8" borderId="0" xfId="0" applyFont="1" applyFill="1" applyAlignment="1">
      <alignment vertical="top"/>
    </xf>
    <xf numFmtId="0" fontId="24" fillId="8" borderId="11" xfId="0" applyFont="1" applyFill="1" applyBorder="1" applyAlignment="1">
      <alignment vertical="top"/>
    </xf>
    <xf numFmtId="0" fontId="24" fillId="0" borderId="22" xfId="0" applyFont="1" applyBorder="1" applyAlignment="1">
      <alignment horizontal="center"/>
    </xf>
    <xf numFmtId="0" fontId="24" fillId="8" borderId="1" xfId="0" applyFont="1" applyFill="1" applyBorder="1" applyAlignment="1">
      <alignment vertical="top"/>
    </xf>
    <xf numFmtId="0" fontId="9" fillId="0" borderId="1" xfId="0" applyFont="1" applyBorder="1" applyAlignment="1">
      <alignment horizontal="center"/>
    </xf>
    <xf numFmtId="0" fontId="9" fillId="0" borderId="0" xfId="0" applyFont="1"/>
    <xf numFmtId="0" fontId="1" fillId="0" borderId="4" xfId="0" applyFont="1" applyBorder="1" applyAlignment="1">
      <alignment horizontal="center" vertical="center" wrapText="1"/>
    </xf>
    <xf numFmtId="49" fontId="17"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0" fontId="14" fillId="0" borderId="1" xfId="0" applyFont="1" applyBorder="1" applyAlignment="1">
      <alignment horizontal="center" vertical="center"/>
    </xf>
    <xf numFmtId="0" fontId="3" fillId="0" borderId="2" xfId="0" applyFont="1" applyBorder="1" applyAlignment="1">
      <alignment vertical="center"/>
    </xf>
    <xf numFmtId="0" fontId="1" fillId="0" borderId="2" xfId="0" applyFont="1" applyBorder="1" applyAlignment="1">
      <alignment horizontal="center" vertical="center"/>
    </xf>
    <xf numFmtId="0" fontId="3" fillId="0" borderId="4" xfId="0" applyFont="1" applyBorder="1" applyAlignment="1">
      <alignment horizontal="center" vertical="center"/>
    </xf>
    <xf numFmtId="0" fontId="1" fillId="0" borderId="3" xfId="0" applyFont="1" applyBorder="1" applyAlignment="1">
      <alignment horizontal="center" vertical="center"/>
    </xf>
    <xf numFmtId="0" fontId="18" fillId="0" borderId="4" xfId="0" applyFont="1" applyBorder="1" applyAlignment="1">
      <alignment vertical="center"/>
    </xf>
    <xf numFmtId="0" fontId="5" fillId="0" borderId="3" xfId="0" applyFont="1" applyBorder="1" applyAlignment="1">
      <alignment vertical="center"/>
    </xf>
    <xf numFmtId="0" fontId="18" fillId="0" borderId="0" xfId="0" applyFont="1" applyAlignment="1">
      <alignment vertical="center"/>
    </xf>
    <xf numFmtId="4" fontId="1" fillId="0" borderId="0" xfId="0" applyNumberFormat="1" applyFont="1" applyAlignment="1">
      <alignment horizontal="center" vertical="center"/>
    </xf>
    <xf numFmtId="4" fontId="1" fillId="0" borderId="0" xfId="0" applyNumberFormat="1" applyFont="1" applyAlignment="1">
      <alignment vertical="center"/>
    </xf>
    <xf numFmtId="4" fontId="5" fillId="2" borderId="1" xfId="0" applyNumberFormat="1" applyFont="1" applyFill="1" applyBorder="1" applyAlignment="1">
      <alignment horizontal="center"/>
    </xf>
    <xf numFmtId="0" fontId="25" fillId="2" borderId="6" xfId="0" applyFont="1" applyFill="1" applyBorder="1" applyAlignment="1">
      <alignment horizontal="center"/>
    </xf>
    <xf numFmtId="0" fontId="26" fillId="0" borderId="2" xfId="0" applyFont="1" applyBorder="1"/>
    <xf numFmtId="0" fontId="26" fillId="0" borderId="7" xfId="0" applyFont="1" applyBorder="1"/>
    <xf numFmtId="0" fontId="25" fillId="2" borderId="0" xfId="0" applyFont="1" applyFill="1" applyAlignment="1">
      <alignment horizontal="center"/>
    </xf>
    <xf numFmtId="0" fontId="0" fillId="0" borderId="0" xfId="0"/>
    <xf numFmtId="0" fontId="25" fillId="2" borderId="8" xfId="0" applyFont="1" applyFill="1" applyBorder="1" applyAlignment="1">
      <alignment horizontal="center"/>
    </xf>
    <xf numFmtId="0" fontId="26" fillId="0" borderId="3" xfId="0" applyFont="1" applyBorder="1"/>
    <xf numFmtId="0" fontId="26" fillId="0" borderId="5" xfId="0" applyFont="1" applyBorder="1"/>
    <xf numFmtId="0" fontId="29" fillId="0" borderId="24" xfId="0" applyFont="1" applyBorder="1" applyAlignment="1">
      <alignment horizontal="center"/>
    </xf>
    <xf numFmtId="0" fontId="26" fillId="0" borderId="11" xfId="0" applyFont="1" applyBorder="1"/>
    <xf numFmtId="0" fontId="29" fillId="11" borderId="22" xfId="0" applyFont="1" applyFill="1" applyBorder="1"/>
    <xf numFmtId="0" fontId="29" fillId="11" borderId="20" xfId="0" applyFont="1" applyFill="1" applyBorder="1"/>
    <xf numFmtId="0" fontId="26" fillId="0" borderId="12" xfId="0" applyFont="1" applyBorder="1"/>
    <xf numFmtId="0" fontId="29" fillId="9" borderId="22" xfId="0" applyFont="1" applyFill="1" applyBorder="1"/>
    <xf numFmtId="0" fontId="29" fillId="11" borderId="24" xfId="0" applyFont="1" applyFill="1" applyBorder="1"/>
    <xf numFmtId="49" fontId="29" fillId="11" borderId="20" xfId="0" applyNumberFormat="1" applyFont="1" applyFill="1" applyBorder="1"/>
    <xf numFmtId="0" fontId="24" fillId="11" borderId="22" xfId="0" applyFont="1" applyFill="1" applyBorder="1"/>
    <xf numFmtId="0" fontId="26" fillId="0" borderId="24" xfId="0" applyFont="1" applyBorder="1"/>
    <xf numFmtId="0" fontId="26" fillId="0" borderId="20" xfId="0" applyFont="1" applyBorder="1"/>
    <xf numFmtId="0" fontId="44" fillId="2" borderId="0" xfId="0" applyFont="1" applyFill="1" applyAlignment="1">
      <alignment horizontal="center"/>
    </xf>
    <xf numFmtId="0" fontId="24" fillId="2" borderId="0" xfId="0" applyFont="1" applyFill="1" applyAlignment="1">
      <alignment horizontal="center"/>
    </xf>
    <xf numFmtId="0" fontId="44" fillId="2" borderId="0" xfId="0" applyFont="1" applyFill="1" applyAlignment="1">
      <alignment horizontal="center" vertical="center"/>
    </xf>
    <xf numFmtId="0" fontId="46" fillId="2" borderId="0" xfId="0" applyFont="1" applyFill="1" applyAlignment="1">
      <alignment horizontal="center"/>
    </xf>
    <xf numFmtId="0" fontId="44" fillId="12" borderId="0" xfId="0" applyFont="1" applyFill="1" applyAlignment="1">
      <alignment horizontal="center"/>
    </xf>
    <xf numFmtId="0" fontId="44" fillId="2" borderId="0" xfId="0" applyFont="1" applyFill="1" applyAlignment="1">
      <alignment horizontal="center" vertical="top"/>
    </xf>
  </cellXfs>
  <cellStyles count="1">
    <cellStyle name="Normal" xfId="0" builtinId="0"/>
  </cellStyles>
  <dxfs count="14">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NTC centri 2526-style" pivot="0" count="4" xr9:uid="{00000000-0011-0000-FFFF-FFFF00000000}">
      <tableStyleElement type="wholeTable" size="0" dxfId="13"/>
      <tableStyleElement type="headerRow" dxfId="12"/>
      <tableStyleElement type="firstRowStripe" dxfId="11"/>
      <tableStyleElement type="secondRowStripe" dxfId="10"/>
    </tableStyle>
    <tableStyle name="NTC centri 2425-style" pivot="0" count="4" xr9:uid="{00000000-0011-0000-FFFF-FFFF01000000}">
      <tableStyleElement type="wholeTable" size="0" dxfId="9"/>
      <tableStyleElement type="headerRow" dxfId="8"/>
      <tableStyleElement type="firstRowStripe" dxfId="7"/>
      <tableStyleElement type="secondRowStripe" dxfId="6"/>
    </tableStyle>
    <tableStyle name="Zainteresovani za centre - spec-style" pivot="0" count="4" xr9:uid="{00000000-0011-0000-FFFF-FFFF02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20/07/relationships/rdRichValueWebImage" Target="richData/rdRichValueWebImage.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Array" Target="richData/rdarray.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SupportingPropertyBag" Target="richData/rdsupportingpropertybag.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c77d1f9f6e1b940bb0f4d417cde2065f&amp;qlt=95" TargetMode="External"/><Relationship Id="rId21" Type="http://schemas.openxmlformats.org/officeDocument/2006/relationships/hyperlink" Target="https://www.bing.com/th?id=OSK.2be78545ced90935fc5d777d5ddbbed8&amp;qlt=95" TargetMode="External"/><Relationship Id="rId42" Type="http://schemas.openxmlformats.org/officeDocument/2006/relationships/hyperlink" Target="https://www.bing.com/images/search?form=xlimg&amp;q=Kragujevac" TargetMode="External"/><Relationship Id="rId47" Type="http://schemas.openxmlformats.org/officeDocument/2006/relationships/hyperlink" Target="https://www.bing.com/th?id=OSK.26e507371b3200e0c064c4eb0b32cd71&amp;qlt=95" TargetMode="External"/><Relationship Id="rId63" Type="http://schemas.openxmlformats.org/officeDocument/2006/relationships/hyperlink" Target="https://www.bing.com/th?id=OSK.19e89f80e83d6edec8c9c5d816b58909&amp;qlt=95" TargetMode="External"/><Relationship Id="rId68" Type="http://schemas.openxmlformats.org/officeDocument/2006/relationships/hyperlink" Target="https://www.bing.com/images/search?form=xlimg&amp;q=Novi%20Pazar" TargetMode="External"/><Relationship Id="rId84" Type="http://schemas.openxmlformats.org/officeDocument/2006/relationships/hyperlink" Target="https://www.bing.com/images/search?form=xlimg&amp;q=Radoboj" TargetMode="External"/><Relationship Id="rId89" Type="http://schemas.openxmlformats.org/officeDocument/2006/relationships/hyperlink" Target="https://www.bing.com/th?id=OSK.39fc078c5357e664e3405a2e418db692&amp;qlt=95" TargetMode="External"/><Relationship Id="rId112" Type="http://schemas.openxmlformats.org/officeDocument/2006/relationships/hyperlink" Target="https://www.bing.com/images/search?form=xlimg&amp;q=Topola" TargetMode="External"/><Relationship Id="rId16" Type="http://schemas.openxmlformats.org/officeDocument/2006/relationships/hyperlink" Target="https://www.bing.com/images/search?form=xlimg&amp;q=Bijeljina" TargetMode="External"/><Relationship Id="rId107" Type="http://schemas.openxmlformats.org/officeDocument/2006/relationships/hyperlink" Target="https://www.bing.com/th?id=OSK.1haWlep2qu1YRQ2Uk7jp9CRrzjF8QXYcJeWOSg3aDVA&amp;qlt=95" TargetMode="External"/><Relationship Id="rId11" Type="http://schemas.openxmlformats.org/officeDocument/2006/relationships/hyperlink" Target="https://www.bing.com/th?id=OSK.a8839638d9028b39469f79a9e53d693c&amp;qlt=95" TargetMode="External"/><Relationship Id="rId32" Type="http://schemas.openxmlformats.org/officeDocument/2006/relationships/hyperlink" Target="https://www.bing.com/images/search?form=xlimg&amp;q=Futog" TargetMode="External"/><Relationship Id="rId37" Type="http://schemas.openxmlformats.org/officeDocument/2006/relationships/hyperlink" Target="https://www.bing.com/th?id=OSK.3cdb4ab4866bfbd3c571a891a4a1e190&amp;qlt=95" TargetMode="External"/><Relationship Id="rId53" Type="http://schemas.openxmlformats.org/officeDocument/2006/relationships/hyperlink" Target="https://www.bing.com/th?id=OSK.955ec06aa9c9c3f75af3317b3a2bfb0c&amp;qlt=95" TargetMode="External"/><Relationship Id="rId58" Type="http://schemas.openxmlformats.org/officeDocument/2006/relationships/hyperlink" Target="https://www.bing.com/images/search?form=xlimg&amp;q=Mladenovac" TargetMode="External"/><Relationship Id="rId74" Type="http://schemas.openxmlformats.org/officeDocument/2006/relationships/hyperlink" Target="https://www.bing.com/images/search?form=xlimg&amp;q=Pan%c4%8devo" TargetMode="External"/><Relationship Id="rId79" Type="http://schemas.openxmlformats.org/officeDocument/2006/relationships/hyperlink" Target="https://www.bing.com/th?id=OSK.f407a10df45b9f6b455f2c3aa3322711&amp;qlt=95" TargetMode="External"/><Relationship Id="rId102" Type="http://schemas.openxmlformats.org/officeDocument/2006/relationships/hyperlink" Target="https://www.bing.com/images/search?form=xlimg&amp;q=Split,%20Croatia" TargetMode="External"/><Relationship Id="rId123" Type="http://schemas.openxmlformats.org/officeDocument/2006/relationships/hyperlink" Target="https://www.bing.com/th?id=OSK.87ca2bac0fe16477b57a51c32e6933a0&amp;qlt=95" TargetMode="External"/><Relationship Id="rId128" Type="http://schemas.openxmlformats.org/officeDocument/2006/relationships/hyperlink" Target="https://www.bing.com/images/search?form=xlimg&amp;q=Zrenjanin" TargetMode="External"/><Relationship Id="rId5" Type="http://schemas.openxmlformats.org/officeDocument/2006/relationships/hyperlink" Target="https://www.bing.com/th?id=OSK.79069f292ec469480b902e2dc9e45c2a&amp;qlt=95" TargetMode="External"/><Relationship Id="rId90" Type="http://schemas.openxmlformats.org/officeDocument/2006/relationships/hyperlink" Target="https://www.bing.com/images/search?form=xlimg&amp;q=%c5%a0abac" TargetMode="External"/><Relationship Id="rId95" Type="http://schemas.openxmlformats.org/officeDocument/2006/relationships/hyperlink" Target="https://www.bing.com/th?id=OSK.56a6776301e4c0c781684b6fa71ce441&amp;qlt=95" TargetMode="External"/><Relationship Id="rId22" Type="http://schemas.openxmlformats.org/officeDocument/2006/relationships/hyperlink" Target="https://www.bing.com/images/search?form=xlimg&amp;q=Br%c4%8dko" TargetMode="External"/><Relationship Id="rId27" Type="http://schemas.openxmlformats.org/officeDocument/2006/relationships/hyperlink" Target="https://www.bing.com/th?id=OSK.2bc1be0f57dd5c0b9b27e9f05b38a7c0&amp;qlt=95" TargetMode="External"/><Relationship Id="rId43" Type="http://schemas.openxmlformats.org/officeDocument/2006/relationships/hyperlink" Target="https://www.bing.com/th?id=OSK.84be790dd63fe99bc4679c935c6d91cc&amp;qlt=95" TargetMode="External"/><Relationship Id="rId48" Type="http://schemas.openxmlformats.org/officeDocument/2006/relationships/hyperlink" Target="https://www.bing.com/images/search?form=xlimg&amp;q=Lajkovac" TargetMode="External"/><Relationship Id="rId64" Type="http://schemas.openxmlformats.org/officeDocument/2006/relationships/hyperlink" Target="https://www.bing.com/images/search?form=xlimg&amp;q=Novi%20Be%c4%8dej" TargetMode="External"/><Relationship Id="rId69" Type="http://schemas.openxmlformats.org/officeDocument/2006/relationships/hyperlink" Target="https://www.bing.com/th?id=OSK.7a7d178ae846c4f3e707fe667dbf56d2&amp;qlt=95" TargetMode="External"/><Relationship Id="rId113" Type="http://schemas.openxmlformats.org/officeDocument/2006/relationships/hyperlink" Target="https://www.bing.com/th?id=OSK.011bda84c2d40e7dbe34f3c2df0b9772&amp;qlt=95" TargetMode="External"/><Relationship Id="rId118" Type="http://schemas.openxmlformats.org/officeDocument/2006/relationships/hyperlink" Target="https://www.bing.com/images/search?form=xlimg&amp;q=Velika%20Plana" TargetMode="External"/><Relationship Id="rId80" Type="http://schemas.openxmlformats.org/officeDocument/2006/relationships/hyperlink" Target="https://www.bing.com/images/search?form=xlimg&amp;q=Po%c5%bearevac" TargetMode="External"/><Relationship Id="rId85" Type="http://schemas.openxmlformats.org/officeDocument/2006/relationships/hyperlink" Target="https://www.bing.com/th?id=OSK.EsqcJ4nfzTuqYMmQTH0hDR9ZYFFotjgZW2XhAsWLsas&amp;qlt=95" TargetMode="External"/><Relationship Id="rId12" Type="http://schemas.openxmlformats.org/officeDocument/2006/relationships/hyperlink" Target="https://www.bing.com/images/search?form=xlimg&amp;q=Be%c4%8dej" TargetMode="External"/><Relationship Id="rId17" Type="http://schemas.openxmlformats.org/officeDocument/2006/relationships/hyperlink" Target="https://www.bing.com/th?id=OSK.b6600bea7b45b07fe787771264e5a9cc&amp;qlt=95" TargetMode="External"/><Relationship Id="rId33" Type="http://schemas.openxmlformats.org/officeDocument/2006/relationships/hyperlink" Target="https://www.bing.com/th?id=OSK.7e7f5ed47458bced9f8c31a1cc3e3b45&amp;qlt=95" TargetMode="External"/><Relationship Id="rId38" Type="http://schemas.openxmlformats.org/officeDocument/2006/relationships/hyperlink" Target="https://www.bing.com/images/search?form=xlimg&amp;q=Kotor" TargetMode="External"/><Relationship Id="rId59" Type="http://schemas.openxmlformats.org/officeDocument/2006/relationships/hyperlink" Target="https://www.bing.com/th?id=OSK.ae4541e7a4d252596232875818c9d1a7&amp;qlt=95" TargetMode="External"/><Relationship Id="rId103" Type="http://schemas.openxmlformats.org/officeDocument/2006/relationships/hyperlink" Target="https://www.bing.com/th?id=OSK.OiOPwEpV30ub6p-YH-9qvJfSsqcsJ3TnTPjaX1PDet0&amp;qlt=95" TargetMode="External"/><Relationship Id="rId108" Type="http://schemas.openxmlformats.org/officeDocument/2006/relationships/hyperlink" Target="https://www.bing.com/images/search?form=xlimg&amp;q=Stara%20Pazova" TargetMode="External"/><Relationship Id="rId124" Type="http://schemas.openxmlformats.org/officeDocument/2006/relationships/hyperlink" Target="https://www.bing.com/images/search?form=xlimg&amp;q=Zagreb" TargetMode="External"/><Relationship Id="rId129" Type="http://schemas.openxmlformats.org/officeDocument/2006/relationships/hyperlink" Target="https://www.bing.com/th?id=OSK.02f67563916bb8d950c6bc5c0edd56af&amp;qlt=95" TargetMode="External"/><Relationship Id="rId54" Type="http://schemas.openxmlformats.org/officeDocument/2006/relationships/hyperlink" Target="https://www.bing.com/images/search?form=xlimg&amp;q=Loznica" TargetMode="External"/><Relationship Id="rId70" Type="http://schemas.openxmlformats.org/officeDocument/2006/relationships/hyperlink" Target="https://www.bing.com/images/search?form=xlimg&amp;q=Novi%20Sad" TargetMode="External"/><Relationship Id="rId75" Type="http://schemas.openxmlformats.org/officeDocument/2006/relationships/hyperlink" Target="https://www.bing.com/th?id=OSK.f74425a2567377bfe21f39d0c448b977&amp;qlt=95" TargetMode="External"/><Relationship Id="rId91" Type="http://schemas.openxmlformats.org/officeDocument/2006/relationships/hyperlink" Target="https://www.bing.com/th?id=OSK.3be5a4b79462c9d3f96f2d0dd3409203&amp;qlt=95" TargetMode="External"/><Relationship Id="rId96" Type="http://schemas.openxmlformats.org/officeDocument/2006/relationships/hyperlink" Target="https://www.bing.com/images/search?form=xlimg&amp;q=Smederevo" TargetMode="External"/><Relationship Id="rId1" Type="http://schemas.openxmlformats.org/officeDocument/2006/relationships/hyperlink" Target="https://www.bing.com/th?id=OSK.1fdee0137a8831c78c7e07a5b9e506f2&amp;qlt=95" TargetMode="External"/><Relationship Id="rId6" Type="http://schemas.openxmlformats.org/officeDocument/2006/relationships/hyperlink" Target="https://www.bing.com/images/search?form=xlimg&amp;q=Banja%20Luka" TargetMode="External"/><Relationship Id="rId23" Type="http://schemas.openxmlformats.org/officeDocument/2006/relationships/hyperlink" Target="https://www.bing.com/th?id=OSK.d8f2e766cb62f512fbf0c679bd745574&amp;qlt=95" TargetMode="External"/><Relationship Id="rId28" Type="http://schemas.openxmlformats.org/officeDocument/2006/relationships/hyperlink" Target="https://www.bing.com/images/search?form=xlimg&amp;q=%c4%8ca%c4%8dak" TargetMode="External"/><Relationship Id="rId49" Type="http://schemas.openxmlformats.org/officeDocument/2006/relationships/hyperlink" Target="https://www.bing.com/th?id=OSK.ed5c021663c7c88f5c742dfb3aaea0f5&amp;qlt=95" TargetMode="External"/><Relationship Id="rId114" Type="http://schemas.openxmlformats.org/officeDocument/2006/relationships/hyperlink" Target="https://www.bing.com/images/search?form=xlimg&amp;q=Valjevo" TargetMode="External"/><Relationship Id="rId119" Type="http://schemas.openxmlformats.org/officeDocument/2006/relationships/hyperlink" Target="https://www.bing.com/th?id=OSK.13d2e71ce2120d7dc77b4bad5048592e&amp;qlt=95" TargetMode="External"/><Relationship Id="rId44" Type="http://schemas.openxmlformats.org/officeDocument/2006/relationships/hyperlink" Target="https://www.bing.com/images/search?form=xlimg&amp;q=Kru%c5%a1evac" TargetMode="External"/><Relationship Id="rId60" Type="http://schemas.openxmlformats.org/officeDocument/2006/relationships/hyperlink" Target="https://www.bing.com/images/search?form=xlimg&amp;q=Nik%c5%a1i%c4%87" TargetMode="External"/><Relationship Id="rId65" Type="http://schemas.openxmlformats.org/officeDocument/2006/relationships/hyperlink" Target="https://www.bing.com/th?id=OSK.b072728a09d637743571e7d23fd2178b&amp;qlt=95" TargetMode="External"/><Relationship Id="rId81" Type="http://schemas.openxmlformats.org/officeDocument/2006/relationships/hyperlink" Target="https://www.bing.com/th?id=OSK.e4c3c4d7188becb4291063ae1765fe8d&amp;qlt=95" TargetMode="External"/><Relationship Id="rId86" Type="http://schemas.openxmlformats.org/officeDocument/2006/relationships/hyperlink" Target="https://www.bing.com/images/search?form=xlimg&amp;q=Rijeka" TargetMode="External"/><Relationship Id="rId130" Type="http://schemas.openxmlformats.org/officeDocument/2006/relationships/hyperlink" Target="https://www.bing.com/images/search?form=xlimg&amp;q=Prijedor" TargetMode="External"/><Relationship Id="rId13" Type="http://schemas.openxmlformats.org/officeDocument/2006/relationships/hyperlink" Target="https://www.bing.com/th?id=OSK.aa396bbabdb8551aef7526ee1af5ba8b&amp;qlt=95" TargetMode="External"/><Relationship Id="rId18" Type="http://schemas.openxmlformats.org/officeDocument/2006/relationships/hyperlink" Target="https://www.bing.com/images/search?form=xlimg&amp;q=Boljevac" TargetMode="External"/><Relationship Id="rId39" Type="http://schemas.openxmlformats.org/officeDocument/2006/relationships/hyperlink" Target="https://www.bing.com/th?id=OSK.998011b179a8a87c9608b88f933e2f71&amp;qlt=95" TargetMode="External"/><Relationship Id="rId109" Type="http://schemas.openxmlformats.org/officeDocument/2006/relationships/hyperlink" Target="https://www.bing.com/th?id=OSK.a2e6e7d53bf0bec14db4036eac7c3dd3&amp;qlt=95" TargetMode="External"/><Relationship Id="rId34" Type="http://schemas.openxmlformats.org/officeDocument/2006/relationships/hyperlink" Target="https://www.bing.com/images/search?form=xlimg&amp;q=In%c4%91ija" TargetMode="External"/><Relationship Id="rId50" Type="http://schemas.openxmlformats.org/officeDocument/2006/relationships/hyperlink" Target="https://www.bing.com/images/search?form=xlimg&amp;q=Lazarevac" TargetMode="External"/><Relationship Id="rId55" Type="http://schemas.openxmlformats.org/officeDocument/2006/relationships/hyperlink" Target="https://www.bing.com/th?id=OSK.71de86c1446c57b1d7b3deb6351d4bb7&amp;qlt=95" TargetMode="External"/><Relationship Id="rId76" Type="http://schemas.openxmlformats.org/officeDocument/2006/relationships/hyperlink" Target="https://www.bing.com/images/search?form=xlimg&amp;q=Pazin" TargetMode="External"/><Relationship Id="rId97" Type="http://schemas.openxmlformats.org/officeDocument/2006/relationships/hyperlink" Target="https://www.bing.com/th?id=OSK.4714d54908e25064deafe052ac342727&amp;qlt=95" TargetMode="External"/><Relationship Id="rId104" Type="http://schemas.openxmlformats.org/officeDocument/2006/relationships/hyperlink" Target="https://www.bing.com/images/search?form=xlimg&amp;q=Sremska%20Kamenica" TargetMode="External"/><Relationship Id="rId120" Type="http://schemas.openxmlformats.org/officeDocument/2006/relationships/hyperlink" Target="https://www.bing.com/images/search?form=xlimg&amp;q=Vinkovci" TargetMode="External"/><Relationship Id="rId125" Type="http://schemas.openxmlformats.org/officeDocument/2006/relationships/hyperlink" Target="https://www.bing.com/th?id=OSK.a4e220984c345676fcb52f287bb13ab4&amp;qlt=95" TargetMode="External"/><Relationship Id="rId7" Type="http://schemas.openxmlformats.org/officeDocument/2006/relationships/hyperlink" Target="https://www.bing.com/th?id=OSK.ca828594b42e5c5a97ff014a11b19997&amp;qlt=95" TargetMode="External"/><Relationship Id="rId71" Type="http://schemas.openxmlformats.org/officeDocument/2006/relationships/hyperlink" Target="https://www.bing.com/th?id=OSK.no88uMjHUeKTLSQn25UJH4PHC7Wf0Jd575QXPxDFS-M&amp;qlt=95" TargetMode="External"/><Relationship Id="rId92" Type="http://schemas.openxmlformats.org/officeDocument/2006/relationships/hyperlink" Target="https://www.bing.com/images/search?form=xlimg&amp;q=%c5%a0ajka%c5%a1" TargetMode="External"/><Relationship Id="rId2" Type="http://schemas.openxmlformats.org/officeDocument/2006/relationships/hyperlink" Target="https://www.bing.com/images/search?form=xlimg&amp;q=Aleksandrovac" TargetMode="External"/><Relationship Id="rId29" Type="http://schemas.openxmlformats.org/officeDocument/2006/relationships/hyperlink" Target="https://www.bing.com/th?id=OSK.gwa-EN4TFCH7Z0dxE6E8LbA5EynvrRp4OgLZO4hNrQY&amp;qlt=95" TargetMode="External"/><Relationship Id="rId24" Type="http://schemas.openxmlformats.org/officeDocument/2006/relationships/hyperlink" Target="https://www.bing.com/images/search?form=xlimg&amp;q=Brus" TargetMode="External"/><Relationship Id="rId40" Type="http://schemas.openxmlformats.org/officeDocument/2006/relationships/hyperlink" Target="https://www.bing.com/images/search?form=xlimg&amp;q=Kovin" TargetMode="External"/><Relationship Id="rId45" Type="http://schemas.openxmlformats.org/officeDocument/2006/relationships/hyperlink" Target="https://www.bing.com/th?id=OSK.RAOPbcwhl-JHEIiKC8aDiplzgtk2DSnPc6NH7YA_LVo&amp;qlt=95" TargetMode="External"/><Relationship Id="rId66" Type="http://schemas.openxmlformats.org/officeDocument/2006/relationships/hyperlink" Target="https://www.bing.com/images/search?form=xlimg&amp;q=Novi%20Kne%c5%beevac" TargetMode="External"/><Relationship Id="rId87" Type="http://schemas.openxmlformats.org/officeDocument/2006/relationships/hyperlink" Target="https://www.bing.com/th?id=OSK.254c91ad6300b790862f4694e057703e&amp;qlt=95" TargetMode="External"/><Relationship Id="rId110" Type="http://schemas.openxmlformats.org/officeDocument/2006/relationships/hyperlink" Target="https://www.bing.com/images/search?form=xlimg&amp;q=Subotica" TargetMode="External"/><Relationship Id="rId115" Type="http://schemas.openxmlformats.org/officeDocument/2006/relationships/hyperlink" Target="https://www.bing.com/th?id=OSK.XLLvMzU21Q9FOhoCOrHhRuLYKNFhKHXmTn5kHUU8mZw&amp;qlt=95" TargetMode="External"/><Relationship Id="rId131" Type="http://schemas.openxmlformats.org/officeDocument/2006/relationships/hyperlink" Target="https://www.bing.com/th?id=OSK.77923084c96d0da2b81d5dff712c2707&amp;qlt=95" TargetMode="External"/><Relationship Id="rId61" Type="http://schemas.openxmlformats.org/officeDocument/2006/relationships/hyperlink" Target="https://www.bing.com/th?id=OSK.1620a4d1cf84692f0a9a3a4e85a1ca36&amp;qlt=95" TargetMode="External"/><Relationship Id="rId82" Type="http://schemas.openxmlformats.org/officeDocument/2006/relationships/hyperlink" Target="https://www.bing.com/images/search?form=xlimg&amp;q=Pula" TargetMode="External"/><Relationship Id="rId19" Type="http://schemas.openxmlformats.org/officeDocument/2006/relationships/hyperlink" Target="https://www.bing.com/th?id=OSK.e1f3bb37363ea7af9a433b8a8ad2c798&amp;qlt=95" TargetMode="External"/><Relationship Id="rId14" Type="http://schemas.openxmlformats.org/officeDocument/2006/relationships/hyperlink" Target="https://www.bing.com/images/search?form=xlimg&amp;q=Belgrade" TargetMode="External"/><Relationship Id="rId30" Type="http://schemas.openxmlformats.org/officeDocument/2006/relationships/hyperlink" Target="https://www.bing.com/images/search?form=xlimg&amp;q=Chicago" TargetMode="External"/><Relationship Id="rId35" Type="http://schemas.openxmlformats.org/officeDocument/2006/relationships/hyperlink" Target="https://www.bing.com/th?id=OSK.339c4b01d2c212a3949186af2480a8a6&amp;qlt=95" TargetMode="External"/><Relationship Id="rId56" Type="http://schemas.openxmlformats.org/officeDocument/2006/relationships/hyperlink" Target="https://www.bing.com/images/search?form=xlimg&amp;q=Mionica" TargetMode="External"/><Relationship Id="rId77" Type="http://schemas.openxmlformats.org/officeDocument/2006/relationships/hyperlink" Target="https://www.bing.com/th?id=OSK.13698a8aec67952856288a970aa117dc&amp;qlt=95" TargetMode="External"/><Relationship Id="rId100" Type="http://schemas.openxmlformats.org/officeDocument/2006/relationships/hyperlink" Target="https://www.bing.com/images/search?form=xlimg&amp;q=Sombor" TargetMode="External"/><Relationship Id="rId105" Type="http://schemas.openxmlformats.org/officeDocument/2006/relationships/hyperlink" Target="https://www.bing.com/th?id=OSK.09b21e9970ed0af59e2d89e6b04a080d&amp;qlt=95" TargetMode="External"/><Relationship Id="rId126" Type="http://schemas.openxmlformats.org/officeDocument/2006/relationships/hyperlink" Target="https://www.bing.com/images/search?form=xlimg&amp;q=Zemun" TargetMode="External"/><Relationship Id="rId8" Type="http://schemas.openxmlformats.org/officeDocument/2006/relationships/hyperlink" Target="https://www.bing.com/images/search?form=xlimg&amp;q=Bar,%20Montenegro" TargetMode="External"/><Relationship Id="rId51" Type="http://schemas.openxmlformats.org/officeDocument/2006/relationships/hyperlink" Target="https://www.bing.com/th?id=OSK.60b99c0da60fd327cfdb143cafdfddd3&amp;qlt=95" TargetMode="External"/><Relationship Id="rId72" Type="http://schemas.openxmlformats.org/officeDocument/2006/relationships/hyperlink" Target="https://www.bing.com/images/search?form=xlimg&amp;q=Osijek" TargetMode="External"/><Relationship Id="rId93" Type="http://schemas.openxmlformats.org/officeDocument/2006/relationships/hyperlink" Target="https://www.bing.com/th?id=OSK.XbC-qinjZ7hosib7-f6KsLTXl9qwhjc8CzaB7ekaoZU&amp;qlt=95" TargetMode="External"/><Relationship Id="rId98" Type="http://schemas.openxmlformats.org/officeDocument/2006/relationships/hyperlink" Target="https://www.bing.com/images/search?form=xlimg&amp;q=Sokolac" TargetMode="External"/><Relationship Id="rId121" Type="http://schemas.openxmlformats.org/officeDocument/2006/relationships/hyperlink" Target="https://www.bing.com/th?id=OSK.87cbe4b5c2556d7a22005a508cc05839&amp;qlt=95" TargetMode="External"/><Relationship Id="rId3" Type="http://schemas.openxmlformats.org/officeDocument/2006/relationships/hyperlink" Target="https://www.bing.com/th?id=OSK.lnjn593AWk2RaIwGs7VsU2NH3PWJidZTehnyj1ZsmJM&amp;qlt=95" TargetMode="External"/><Relationship Id="rId25" Type="http://schemas.openxmlformats.org/officeDocument/2006/relationships/hyperlink" Target="https://www.bing.com/th?id=OSK.31c28fa45969824e307ef4eca740a14c&amp;qlt=95" TargetMode="External"/><Relationship Id="rId46" Type="http://schemas.openxmlformats.org/officeDocument/2006/relationships/hyperlink" Target="https://www.bing.com/images/search?form=xlimg&amp;q=Kula,%20Serbia" TargetMode="External"/><Relationship Id="rId67" Type="http://schemas.openxmlformats.org/officeDocument/2006/relationships/hyperlink" Target="https://www.bing.com/th?id=OSK.2b6563e97e19b3bf03582080f12a3813&amp;qlt=95" TargetMode="External"/><Relationship Id="rId116" Type="http://schemas.openxmlformats.org/officeDocument/2006/relationships/hyperlink" Target="https://www.bing.com/images/search?form=xlimg&amp;q=Vara%c5%bedin" TargetMode="External"/><Relationship Id="rId20" Type="http://schemas.openxmlformats.org/officeDocument/2006/relationships/hyperlink" Target="https://www.bing.com/images/search?form=xlimg&amp;q=Bor%c4%8da" TargetMode="External"/><Relationship Id="rId41" Type="http://schemas.openxmlformats.org/officeDocument/2006/relationships/hyperlink" Target="https://www.bing.com/th?id=OSK.639a2f51c2eb4828cf85b4dbc8e7933f&amp;qlt=95" TargetMode="External"/><Relationship Id="rId62" Type="http://schemas.openxmlformats.org/officeDocument/2006/relationships/hyperlink" Target="https://www.bing.com/images/search?form=xlimg&amp;q=Ni%c5%a1" TargetMode="External"/><Relationship Id="rId83" Type="http://schemas.openxmlformats.org/officeDocument/2006/relationships/hyperlink" Target="https://www.bing.com/th?id=OSK.22110c1d0a2652722b3e7fc34bef5567&amp;qlt=95" TargetMode="External"/><Relationship Id="rId88" Type="http://schemas.openxmlformats.org/officeDocument/2006/relationships/hyperlink" Target="https://www.bing.com/images/search?form=xlimg&amp;q=Rogatica" TargetMode="External"/><Relationship Id="rId111" Type="http://schemas.openxmlformats.org/officeDocument/2006/relationships/hyperlink" Target="https://www.bing.com/th?id=OSK.25f8b626ebf647dc60dff21815af17f4&amp;qlt=95" TargetMode="External"/><Relationship Id="rId132" Type="http://schemas.openxmlformats.org/officeDocument/2006/relationships/hyperlink" Target="https://www.bing.com/images/search?form=xlimg&amp;q=Srbac" TargetMode="External"/><Relationship Id="rId15" Type="http://schemas.openxmlformats.org/officeDocument/2006/relationships/hyperlink" Target="https://www.bing.com/th?id=OSK.a129edc4db9221e9c80833cb005324d7&amp;qlt=95" TargetMode="External"/><Relationship Id="rId36" Type="http://schemas.openxmlformats.org/officeDocument/2006/relationships/hyperlink" Target="https://www.bing.com/images/search?form=xlimg&amp;q=Isto%c4%8dno%20Sarajevo" TargetMode="External"/><Relationship Id="rId57" Type="http://schemas.openxmlformats.org/officeDocument/2006/relationships/hyperlink" Target="https://www.bing.com/th?id=OSK.6c991ec0918b38e395ba648174a33b55&amp;qlt=95" TargetMode="External"/><Relationship Id="rId106" Type="http://schemas.openxmlformats.org/officeDocument/2006/relationships/hyperlink" Target="https://www.bing.com/images/search?form=xlimg&amp;q=Sremska%20Mitrovica" TargetMode="External"/><Relationship Id="rId127" Type="http://schemas.openxmlformats.org/officeDocument/2006/relationships/hyperlink" Target="https://www.bing.com/th?id=OSK.frwzVkgekfFt0NCzs9pRgyYn3xPjaIKpMobAjyom2tM&amp;qlt=95" TargetMode="External"/><Relationship Id="rId10" Type="http://schemas.openxmlformats.org/officeDocument/2006/relationships/hyperlink" Target="https://www.bing.com/images/search?form=xlimg&amp;q=Batajnica" TargetMode="External"/><Relationship Id="rId31" Type="http://schemas.openxmlformats.org/officeDocument/2006/relationships/hyperlink" Target="https://www.bing.com/th?id=OSK.953625f28b11c5445b1dc87e3e1b4cb1&amp;qlt=95" TargetMode="External"/><Relationship Id="rId52" Type="http://schemas.openxmlformats.org/officeDocument/2006/relationships/hyperlink" Target="https://www.bing.com/images/search?form=xlimg&amp;q=Ljubljana" TargetMode="External"/><Relationship Id="rId73" Type="http://schemas.openxmlformats.org/officeDocument/2006/relationships/hyperlink" Target="https://www.bing.com/th?id=OSK.a82165c05626b2f4e06870d403c116a4&amp;qlt=95" TargetMode="External"/><Relationship Id="rId78" Type="http://schemas.openxmlformats.org/officeDocument/2006/relationships/hyperlink" Target="https://www.bing.com/images/search?form=xlimg&amp;q=Podgorica" TargetMode="External"/><Relationship Id="rId94" Type="http://schemas.openxmlformats.org/officeDocument/2006/relationships/hyperlink" Target="https://www.bing.com/images/search?form=xlimg&amp;q=Skopje" TargetMode="External"/><Relationship Id="rId99" Type="http://schemas.openxmlformats.org/officeDocument/2006/relationships/hyperlink" Target="https://www.bing.com/th?id=OSK.0e03d1f13b3a31e4b3c82a2f12704dcc&amp;qlt=95" TargetMode="External"/><Relationship Id="rId101" Type="http://schemas.openxmlformats.org/officeDocument/2006/relationships/hyperlink" Target="https://www.bing.com/th?id=OSK.89e0aa3ca3b1ae2110deee6d6fca25e1&amp;qlt=95" TargetMode="External"/><Relationship Id="rId122" Type="http://schemas.openxmlformats.org/officeDocument/2006/relationships/hyperlink" Target="https://www.bing.com/images/search?form=xlimg&amp;q=Vrbas,%20Serbia" TargetMode="External"/><Relationship Id="rId4" Type="http://schemas.openxmlformats.org/officeDocument/2006/relationships/hyperlink" Target="https://www.bing.com/images/search?form=xlimg&amp;q=Aran%c4%91elovac" TargetMode="External"/><Relationship Id="rId9" Type="http://schemas.openxmlformats.org/officeDocument/2006/relationships/hyperlink" Target="https://www.bing.com/th?id=OSK.bfac2b2cda59b80f53ed04e78c28e8e2&amp;qlt=95" TargetMode="External"/><Relationship Id="rId26" Type="http://schemas.openxmlformats.org/officeDocument/2006/relationships/hyperlink" Target="https://www.bing.com/images/search?form=xlimg&amp;q=Budv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Srd>
</file>

<file path=xl/richData/rdarray.xml><?xml version="1.0" encoding="utf-8"?>
<arrayData xmlns="http://schemas.microsoft.com/office/spreadsheetml/2017/richdata2" count="70">
  <a r="1">
    <v t="r">8</v>
  </a>
  <a r="1">
    <v t="s">UTC+01:00</v>
  </a>
  <a r="1">
    <v t="r">20</v>
  </a>
  <a r="1">
    <v t="r">32</v>
  </a>
  <a r="1">
    <v t="s">Central European Summer Time</v>
  </a>
  <a r="1">
    <v t="r">45</v>
  </a>
  <a r="1">
    <v t="s">Central European Time</v>
  </a>
  <a r="1">
    <v t="r">64</v>
  </a>
  <a r="1">
    <v t="r">72</v>
  </a>
  <a r="1">
    <v t="s">Serbian language</v>
  </a>
  <a r="1">
    <v t="r">82</v>
  </a>
  <a r="1">
    <v t="r">93</v>
  </a>
  <a r="1">
    <v t="r">113</v>
  </a>
  <a r="1">
    <v t="r">123</v>
  </a>
  <a r="2">
    <v t="s">Central European Summer Time</v>
    <v t="s">Central European Time Zone</v>
  </a>
  <a r="1">
    <v t="r">135</v>
  </a>
  <a r="1">
    <v t="r">146</v>
  </a>
  <a r="1">
    <v t="r">159</v>
  </a>
  <a r="2">
    <v t="s">UTC−05:00</v>
    <v t="s">UTC−06:00</v>
  </a>
  <a r="1">
    <v t="r">179</v>
  </a>
  <a r="1">
    <v t="r">188</v>
  </a>
  <a r="1">
    <v t="r">199</v>
  </a>
  <a r="1">
    <v t="s">Central European Time Zone</v>
  </a>
  <a r="1">
    <v t="r">211</v>
  </a>
  <a r="1">
    <v t="r">221</v>
  </a>
  <a r="1">
    <v t="r">231</v>
  </a>
  <a r="1">
    <v t="r">242</v>
  </a>
  <a r="1">
    <v t="r">253</v>
  </a>
  <a r="1">
    <v t="r">261</v>
  </a>
  <a r="1">
    <v t="r">271</v>
  </a>
  <a r="1">
    <v t="r">282</v>
  </a>
  <a r="1">
    <v t="r">291</v>
  </a>
  <a r="1">
    <v t="r">309</v>
  </a>
  <a r="1">
    <v t="r">321</v>
  </a>
  <a r="1">
    <v t="r">331</v>
  </a>
  <a r="1">
    <v t="r">342</v>
  </a>
  <a r="1">
    <v t="r">353</v>
  </a>
  <a r="1">
    <v t="r">363</v>
  </a>
  <a r="1">
    <v t="r">375</v>
  </a>
  <a r="2">
    <v t="r">385</v>
    <v t="r">386</v>
  </a>
  <a r="1">
    <v t="r">397</v>
  </a>
  <a r="1">
    <v t="r">408</v>
  </a>
  <a r="1">
    <v t="r">420</v>
  </a>
  <a r="1">
    <v t="r">429</v>
  </a>
  <a r="1">
    <v t="s">Anđelko Topolovec (Mayor)</v>
  </a>
  <a r="1">
    <v t="s">Central European Standard Time</v>
  </a>
  <a r="1">
    <v t="r">451</v>
  </a>
  <a r="1">
    <v t="s">Milorad Jagodić (Mayor)</v>
  </a>
  <a r="2">
    <v t="r">470</v>
    <v t="r">471</v>
  </a>
  <a r="1">
    <v t="r">489</v>
  </a>
  <a r="1">
    <v t="r">499</v>
  </a>
  <a r="1">
    <v t="s">Milovan Bjelica (Mayor)</v>
  </a>
  <a r="1">
    <v t="r">518</v>
  </a>
  <a r="1">
    <v t="r">530</v>
  </a>
  <a r="3">
    <v t="s">Central European Summer Time</v>
    <v t="s">Central European Time Zone</v>
    <v t="s">Central European Standard Time</v>
  </a>
  <a r="1">
    <v t="r">550</v>
  </a>
  <a r="1">
    <v t="r">558</v>
  </a>
  <a r="1">
    <v t="r">567</v>
  </a>
  <a r="1">
    <v t="r">577</v>
  </a>
  <a r="1">
    <v t="r">586</v>
  </a>
  <a r="1">
    <v t="r">597</v>
  </a>
  <a r="1">
    <v t="r">607</v>
  </a>
  <a r="1">
    <v t="r">617</v>
  </a>
  <a r="1">
    <v t="r">626</v>
  </a>
  <a r="1">
    <v t="r">635</v>
  </a>
  <a r="1">
    <v t="r">644</v>
  </a>
  <a r="1">
    <v t="r">654</v>
  </a>
  <a r="2">
    <v t="s">UTC+02:00</v>
    <v t="s">UTC+01:00</v>
  </a>
  <a r="1">
    <v t="r">665</v>
  </a>
  <a r="1">
    <v t="s">Mlađan Dragosavljević (Mayor)</v>
  </a>
</arrayData>
</file>

<file path=xl/richData/rdrichvalue.xml><?xml version="1.0" encoding="utf-8"?>
<rvData xmlns="http://schemas.microsoft.com/office/spreadsheetml/2017/richdata" count="680">
  <rv s="0">
    <v>12</v>
    <v>Latitude</v>
    <v>0</v>
  </rv>
  <rv s="0">
    <v>12</v>
    <v>Longitude</v>
    <v>0</v>
  </rv>
  <rv s="1">
    <v>536870912</v>
    <v>Aleksandrovac</v>
    <v>958668a0-cd14-d6f2-3c0f-b571bf52aa89</v>
    <v>en-US</v>
    <v>Map</v>
  </rv>
  <rv s="1">
    <v>536870912</v>
    <v>Rasina District</v>
    <v>b07edd1c-21ee-ac36-f59e-703020e74185</v>
    <v>en-US</v>
    <v>Map</v>
  </rv>
  <rv s="2">
    <fb>387</fb>
    <v>8</v>
  </rv>
  <rv s="1">
    <v>536870912</v>
    <v>Serbia</v>
    <v>bfde06a5-c040-2791-7779-ac3934ad56d8</v>
    <v>en-US</v>
    <v>Map</v>
  </rv>
  <rv s="3">
    <v>0</v>
    <v>6</v>
    <v>0</v>
    <v>7</v>
    <v>0</v>
    <v>Image of Aleksandrovac</v>
  </rv>
  <rv s="2">
    <fb>43.455277777778001</fb>
    <v>9</v>
  </rv>
  <rv s="1">
    <v>805306368</v>
    <v>Jelena Paunović (Mayor)</v>
    <v>60f2a087-71ee-f4bb-946f-b8e3829eede1</v>
    <v>en-US</v>
    <v>Generic</v>
  </rv>
  <rv s="4">
    <v>0</v>
  </rv>
  <rv s="5">
    <v>https://www.bing.com/search?q=aleksandrovac&amp;form=skydnc</v>
    <v>Learn more on Bing</v>
  </rv>
  <rv s="2">
    <fb>21.051388888889001</fb>
    <v>9</v>
  </rv>
  <rv s="2">
    <fb>22069</fb>
    <v>8</v>
  </rv>
  <rv s="4">
    <v>1</v>
  </rv>
  <rv s="6">
    <v>#VALUE!</v>
    <v>en-US</v>
    <v>958668a0-cd14-d6f2-3c0f-b571bf52aa89</v>
    <v>536870912</v>
    <v>1</v>
    <v>1</v>
    <v>2</v>
    <v>Aleksandrovac</v>
    <v>4</v>
    <v>5</v>
    <v>Map</v>
    <v>6</v>
    <v>7</v>
    <v>3</v>
    <v>4</v>
    <v>5</v>
    <v>Aleksandrovac is a town and municipality located in the Rasina District of central Serbia. As of 2022, the town has a population of 5,586 inhabitants, while the municipality has 22,069 inhabitants. From 1929 to 1941, Aleksandrovac was part of ...</v>
    <v>6</v>
    <v>7</v>
    <v>9</v>
    <v>10</v>
    <v>11</v>
    <v>Aleksandrovac</v>
    <v>12</v>
    <v>13</v>
    <v>Aleksandrovac</v>
    <v>mdp/vdpid/7217910784943194113</v>
  </rv>
  <rv s="1">
    <v>536870912</v>
    <v>Aranđelovac</v>
    <v>01c1ddc7-6279-a8ed-36ad-ed080013a48b</v>
    <v>en-US</v>
    <v>Map</v>
  </rv>
  <rv s="1">
    <v>536870912</v>
    <v>Šumadija District</v>
    <v>5ab530fd-7899-457b-a64a-7737385a8eb7</v>
    <v>en-US</v>
    <v>Map</v>
  </rv>
  <rv s="2">
    <fb>376</fb>
    <v>8</v>
  </rv>
  <rv s="3">
    <v>1</v>
    <v>6</v>
    <v>10</v>
    <v>7</v>
    <v>0</v>
    <v>Image of Aranđelovac</v>
  </rv>
  <rv s="2">
    <fb>44.304166666667001</fb>
    <v>9</v>
  </rv>
  <rv s="1">
    <v>805306368</v>
    <v>Bojan Radović (Mayor)</v>
    <v>f6e82b50-ee19-2e96-5ebb-8669c09476e3</v>
    <v>en-US</v>
    <v>Generic</v>
  </rv>
  <rv s="4">
    <v>2</v>
  </rv>
  <rv s="5">
    <v>https://www.bing.com/search?q=aran%c4%91elovac+serbia&amp;form=skydnc</v>
    <v>Learn more on Bing</v>
  </rv>
  <rv s="2">
    <fb>20.556111111111001</fb>
    <v>9</v>
  </rv>
  <rv s="2">
    <fb>41297</fb>
    <v>8</v>
  </rv>
  <rv s="6">
    <v>#VALUE!</v>
    <v>en-US</v>
    <v>01c1ddc7-6279-a8ed-36ad-ed080013a48b</v>
    <v>536870912</v>
    <v>1</v>
    <v>11</v>
    <v>2</v>
    <v>Aranđelovac</v>
    <v>4</v>
    <v>5</v>
    <v>Map</v>
    <v>6</v>
    <v>7</v>
    <v>16</v>
    <v>17</v>
    <v>5</v>
    <v>Aranđelovac is a town and a municipality located in the Šumadija District of central Serbia. As of 2022, the municipality has a population of 41,297 inhabitants, while the town has 22,881 inhabitants.</v>
    <v>18</v>
    <v>19</v>
    <v>21</v>
    <v>22</v>
    <v>23</v>
    <v>Aranđelovac</v>
    <v>24</v>
    <v>13</v>
    <v>Aranđelovac</v>
    <v>mdp/vdpid/7217642200589402114</v>
  </rv>
  <rv s="1">
    <v>536870912</v>
    <v>Banja Luka</v>
    <v>f93aaff3-b65f-cd8b-f586-e84d4b0a6171</v>
    <v>en-US</v>
    <v>Map</v>
  </rv>
  <rv s="1">
    <v>536870912</v>
    <v>Republika Srpska</v>
    <v>2fe856d7-b6f4-dbce-fa75-9ac4319b1d63</v>
    <v>en-US</v>
    <v>Map</v>
  </rv>
  <rv s="2">
    <fb>1238.8900000000001</fb>
    <v>8</v>
  </rv>
  <rv s="1">
    <v>536870912</v>
    <v>Bosnia and Herzegovina</v>
    <v>d4cae21e-b3ba-1c2f-fa55-9c516a522c1b</v>
    <v>en-US</v>
    <v>Map</v>
  </rv>
  <rv s="3">
    <v>2</v>
    <v>6</v>
    <v>12</v>
    <v>7</v>
    <v>0</v>
    <v>Image of Banja Luka</v>
  </rv>
  <rv s="2">
    <fb>44.772500000000001</fb>
    <v>9</v>
  </rv>
  <rv s="1">
    <v>805306368</v>
    <v>Draško Stanivuković (Mayor)</v>
    <v>9caa2e52-510d-b79c-2f6e-0eca649bf77d</v>
    <v>en-US</v>
    <v>Generic</v>
  </rv>
  <rv s="4">
    <v>3</v>
  </rv>
  <rv s="5">
    <v>https://www.bing.com/search?q=banja+luka&amp;form=skydnc</v>
    <v>Learn more on Bing</v>
  </rv>
  <rv s="2">
    <fb>17.192499999999999</fb>
    <v>9</v>
  </rv>
  <rv s="2">
    <fb>185042</fb>
    <v>8</v>
  </rv>
  <rv s="4">
    <v>4</v>
  </rv>
  <rv s="7">
    <v>#VALUE!</v>
    <v>en-US</v>
    <v>f93aaff3-b65f-cd8b-f586-e84d4b0a6171</v>
    <v>536870912</v>
    <v>1</v>
    <v>13</v>
    <v>14</v>
    <v>Banja Luka</v>
    <v>4</v>
    <v>5</v>
    <v>Map</v>
    <v>6</v>
    <v>15</v>
    <v>27</v>
    <v>27</v>
    <v>28</v>
    <v>29</v>
    <v>Banja Luka or Banjaluka is the second largest city in Bosnia and Herzegovina and the largest city of Republika Srpska, of which it is also the de facto capital. Banja Luka is the traditional centre of the densely-forested Bosanska Krajina region ...</v>
    <v>30</v>
    <v>31</v>
    <v>33</v>
    <v>34</v>
    <v>35</v>
    <v>Banja Luka</v>
    <v>36</v>
    <v>37</v>
    <v>Banja Luka</v>
    <v>mdp/vdpid/7217031835589541889</v>
  </rv>
  <rv s="1">
    <v>536870912</v>
    <v>Bar, Montenegro</v>
    <v>f67fa505-9dba-b81f-3308-b87aa581f3da</v>
    <v>en-US</v>
    <v>Map</v>
  </rv>
  <rv s="1">
    <v>536870912</v>
    <v>Bar Municipality</v>
    <v>ef402ae9-9313-4a3d-bcb2-2fdd468f608e</v>
    <v>en-US</v>
    <v>Map</v>
  </rv>
  <rv s="2">
    <fb>598</fb>
    <v>8</v>
  </rv>
  <rv s="1">
    <v>536870912</v>
    <v>Montenegro</v>
    <v>af9f6af3-dd71-b99f-0f24-acfa43b556ef</v>
    <v>en-US</v>
    <v>Map</v>
  </rv>
  <rv s="3">
    <v>3</v>
    <v>6</v>
    <v>16</v>
    <v>7</v>
    <v>0</v>
    <v>Image of Bar, Montenegro</v>
  </rv>
  <rv s="2">
    <fb>42.1</fb>
    <v>9</v>
  </rv>
  <rv s="1">
    <v>805306368</v>
    <v>Dušan Raičević (Mayor)</v>
    <v>27f6ef35-0864-ce71-479c-30cae478a6ef</v>
    <v>en-US</v>
    <v>Generic</v>
  </rv>
  <rv s="4">
    <v>5</v>
  </rv>
  <rv s="5">
    <v>https://www.bing.com/search?q=bar+montenegro&amp;form=skydnc</v>
    <v>Learn more on Bing</v>
  </rv>
  <rv s="2">
    <fb>19.100000000000001</fb>
    <v>9</v>
  </rv>
  <rv s="2">
    <fb>13719</fb>
    <v>8</v>
  </rv>
  <rv s="8">
    <v>#VALUE!</v>
    <v>en-US</v>
    <v>f67fa505-9dba-b81f-3308-b87aa581f3da</v>
    <v>536870912</v>
    <v>1</v>
    <v>17</v>
    <v>18</v>
    <v>Bar, Montenegro</v>
    <v>4</v>
    <v>5</v>
    <v>Map</v>
    <v>6</v>
    <v>19</v>
    <v>40</v>
    <v>41</v>
    <v>42</v>
    <v>Bar is a coastal town and seaport in southern Montenegro. It is the capital of the Bar Municipality and a center for tourism. According to the 2011 census, the city proper had 13,503 inhabitants, while the total population of Bar Municipality ...</v>
    <v>43</v>
    <v>44</v>
    <v>46</v>
    <v>47</v>
    <v>48</v>
    <v>Bar, Montenegro</v>
    <v>49</v>
    <v>Bar, Montenegro</v>
    <v>mdp/vdpid/7218321141587247106</v>
  </rv>
  <rv s="1">
    <v>536870912</v>
    <v>Batajnica</v>
    <v>7ff43f0c-3dde-8389-4e0d-70e4825f56dc</v>
    <v>en-US</v>
    <v>Map</v>
  </rv>
  <rv s="2">
    <fb>44.27</fb>
    <v>8</v>
  </rv>
  <rv s="3">
    <v>4</v>
    <v>6</v>
    <v>20</v>
    <v>7</v>
    <v>0</v>
    <v>Image of Batajnica</v>
  </rv>
  <rv s="2">
    <fb>44.902222219999999</fb>
    <v>9</v>
  </rv>
  <rv s="5">
    <v>https://www.bing.com/search?q=batajnica+yugoslavia&amp;form=skydnc</v>
    <v>Learn more on Bing</v>
  </rv>
  <rv s="2">
    <fb>20.281388889999999</fb>
    <v>9</v>
  </rv>
  <rv s="4">
    <v>6</v>
  </rv>
  <rv s="9">
    <v>#VALUE!</v>
    <v>en-US</v>
    <v>7ff43f0c-3dde-8389-4e0d-70e4825f56dc</v>
    <v>536870912</v>
    <v>1</v>
    <v>21</v>
    <v>22</v>
    <v>Batajnica</v>
    <v>4</v>
    <v>5</v>
    <v>Map</v>
    <v>6</v>
    <v>23</v>
    <v>52</v>
    <v>5</v>
    <v>Batajnica is an urban neighborhood of Belgrade, the capital city of Serbia. It is located in the Belgrade municipality of Zemun.</v>
    <v>53</v>
    <v>54</v>
    <v>55</v>
    <v>56</v>
    <v>Batajnica</v>
    <v>57</v>
    <v>Batajnica</v>
    <v>mdp/vdpid/7217593607966949382</v>
  </rv>
  <rv s="1">
    <v>536870912</v>
    <v>Bečej</v>
    <v>df8739fb-81d3-cb3e-1e05-5927f9527399</v>
    <v>en-US</v>
    <v>Map</v>
  </rv>
  <rv s="1">
    <v>536870912</v>
    <v>South Bačka District</v>
    <v>3b6bf260-5f36-2f33-f93c-25ddc78dc37b</v>
    <v>en-US</v>
    <v>Map</v>
  </rv>
  <rv s="2">
    <fb>487</fb>
    <v>8</v>
  </rv>
  <rv s="3">
    <v>5</v>
    <v>6</v>
    <v>24</v>
    <v>7</v>
    <v>0</v>
    <v>Image of Bečej</v>
  </rv>
  <rv s="2">
    <fb>45.616666666667001</fb>
    <v>9</v>
  </rv>
  <rv s="1">
    <v>805306368</v>
    <v>Vuk Radojević (Mayor)</v>
    <v>f79ceac8-204a-d79e-79c9-432d366806c3</v>
    <v>en-US</v>
    <v>Generic</v>
  </rv>
  <rv s="4">
    <v>7</v>
  </rv>
  <rv s="5">
    <v>https://www.bing.com/search?q=be%c4%8dej+vojvodina&amp;form=skydnc</v>
    <v>Learn more on Bing</v>
  </rv>
  <rv s="2">
    <fb>20.033333333333001</fb>
    <v>9</v>
  </rv>
  <rv s="10">
    <v>#VALUE!</v>
    <v>en-US</v>
    <v>df8739fb-81d3-cb3e-1e05-5927f9527399</v>
    <v>536870912</v>
    <v>1</v>
    <v>25</v>
    <v>26</v>
    <v>Bečej</v>
    <v>4</v>
    <v>5</v>
    <v>Map</v>
    <v>6</v>
    <v>23</v>
    <v>60</v>
    <v>61</v>
    <v>5</v>
    <v>Bečej is a town and municipality located in the South Bačka District of the autonomous province of Vojvodina, Serbia. The town has a population of 23,895, while the municipality has 37,351 inhabitants. It is a multiethnic town, predominantly ...</v>
    <v>62</v>
    <v>63</v>
    <v>65</v>
    <v>66</v>
    <v>67</v>
    <v>Bečej</v>
    <v>Bečej</v>
    <v>mdp/vdpid/7025407530436132865</v>
  </rv>
  <rv s="1">
    <v>536870912</v>
    <v>Belgrade</v>
    <v>23967a85-77cf-f376-c0a7-769fd8f12d6b</v>
    <v>en-US</v>
    <v>Map</v>
  </rv>
  <rv s="2">
    <fb>359.96</fb>
    <v>8</v>
  </rv>
  <rv s="3">
    <v>6</v>
    <v>6</v>
    <v>27</v>
    <v>7</v>
    <v>0</v>
    <v>Image of Belgrade</v>
  </rv>
  <rv s="1">
    <v>805306368</v>
    <v>Aleksandar Šapić (Mayor)</v>
    <v>03648505-2c13-8fb3-7e22-4596c6c03ada</v>
    <v>en-US</v>
    <v>Generic</v>
  </rv>
  <rv s="4">
    <v>8</v>
  </rv>
  <rv s="5">
    <v>https://www.bing.com/search?q=belgrade&amp;form=skydnc</v>
    <v>Learn more on Bing</v>
  </rv>
  <rv s="4">
    <v>9</v>
  </rv>
  <rv s="2">
    <fb>1197714</fb>
    <v>8</v>
  </rv>
  <rv s="11">
    <v>#VALUE!</v>
    <v>en-US</v>
    <v>23967a85-77cf-f376-c0a7-769fd8f12d6b</v>
    <v>536870912</v>
    <v>1</v>
    <v>29</v>
    <v>30</v>
    <v>Belgrade</v>
    <v>4</v>
    <v>5</v>
    <v>Map</v>
    <v>6</v>
    <v>7</v>
    <v>RS-00</v>
    <v>70</v>
    <v>5</v>
    <v>Belgrade is the capital and largest city of Serbia. It is located at the confluence of the Sava and Danube rivers and at the crossroads of the Pannonian Plain and the Balkan Peninsula. The population of the Belgrade metropolitan area is ...</v>
    <v>71</v>
    <v>73</v>
    <v>74</v>
    <v>Belgrade</v>
    <v>75</v>
    <v>76</v>
    <v>13</v>
    <v>Belgrade</v>
    <v>mdp/vdpid/7217621128724873221</v>
  </rv>
  <rv s="1">
    <v>536870912</v>
    <v>Bijeljina</v>
    <v>9a1a5ae3-6ccc-baf5-a998-72215e75ed04</v>
    <v>en-US</v>
    <v>Map</v>
  </rv>
  <rv s="2">
    <fb>733.85</fb>
    <v>8</v>
  </rv>
  <rv s="3">
    <v>7</v>
    <v>6</v>
    <v>31</v>
    <v>7</v>
    <v>0</v>
    <v>Image of Bijeljina</v>
  </rv>
  <rv s="2">
    <fb>44.756666666666703</fb>
    <v>9</v>
  </rv>
  <rv s="1">
    <v>805306368</v>
    <v>Ljubiša Petrović (Mayor)</v>
    <v>349dd14a-df7b-f470-b66f-b4c4e3f3bd05</v>
    <v>en-US</v>
    <v>Generic</v>
  </rv>
  <rv s="4">
    <v>10</v>
  </rv>
  <rv s="5">
    <v>https://www.bing.com/search?q=grad+bijeljina&amp;form=skydnc</v>
    <v>Learn more on Bing</v>
  </rv>
  <rv s="2">
    <fb>19.2155555555556</fb>
    <v>9</v>
  </rv>
  <rv s="2">
    <fb>107715</fb>
    <v>8</v>
  </rv>
  <rv s="6">
    <v>#VALUE!</v>
    <v>en-US</v>
    <v>9a1a5ae3-6ccc-baf5-a998-72215e75ed04</v>
    <v>536870912</v>
    <v>1</v>
    <v>32</v>
    <v>2</v>
    <v>Bijeljina</v>
    <v>4</v>
    <v>5</v>
    <v>Map</v>
    <v>6</v>
    <v>15</v>
    <v>27</v>
    <v>79</v>
    <v>29</v>
    <v>Bijeljina is a city and municipality in Republika Srpska, Bosnia and Herzegovina. It is the provincial center of Semberija, a geographic region in the country's northeast. As of 2013, it has a population of 107,715 inhabitants.</v>
    <v>80</v>
    <v>81</v>
    <v>83</v>
    <v>84</v>
    <v>85</v>
    <v>Bijeljina</v>
    <v>86</v>
    <v>37</v>
    <v>Bijeljina</v>
    <v>mdp/vdpid/7217202775321477121</v>
  </rv>
  <rv s="1">
    <v>536870912</v>
    <v>Boljevac</v>
    <v>eaae3271-161f-e805-ff99-8355c16a198e</v>
    <v>en-US</v>
    <v>Map</v>
  </rv>
  <rv s="1">
    <v>536870912</v>
    <v>Zaječar District</v>
    <v>bf30904f-9632-457e-b741-4ebc19b76af2</v>
    <v>en-US</v>
    <v>Map</v>
  </rv>
  <rv s="2">
    <fb>828</fb>
    <v>8</v>
  </rv>
  <rv s="3">
    <v>8</v>
    <v>6</v>
    <v>33</v>
    <v>7</v>
    <v>0</v>
    <v>Image of Boljevac</v>
  </rv>
  <rv s="2">
    <fb>43.830300000000001</fb>
    <v>9</v>
  </rv>
  <rv s="1">
    <v>805306368</v>
    <v>Nebojša Marjanović (Mayor)</v>
    <v>e2729fd2-7aea-9e3e-dd4d-8990d5150c3d</v>
    <v>en-US</v>
    <v>Generic</v>
  </rv>
  <rv s="4">
    <v>11</v>
  </rv>
  <rv s="5">
    <v>https://www.bing.com/search?q=boljevac&amp;form=skydnc</v>
    <v>Learn more on Bing</v>
  </rv>
  <rv s="2">
    <fb>21.953099999999999</fb>
    <v>9</v>
  </rv>
  <rv s="2">
    <fb>10184</fb>
    <v>8</v>
  </rv>
  <rv s="12">
    <v>#VALUE!</v>
    <v>en-US</v>
    <v>eaae3271-161f-e805-ff99-8355c16a198e</v>
    <v>536870912</v>
    <v>1</v>
    <v>34</v>
    <v>35</v>
    <v>Boljevac</v>
    <v>4</v>
    <v>5</v>
    <v>Map</v>
    <v>6</v>
    <v>7</v>
    <v>89</v>
    <v>89</v>
    <v>90</v>
    <v>5</v>
    <v>Boljevac is a town and municipality located in the Zaječar District of eastern Serbia. According to 2022 census, the population of the town was 2,894, while population of the municipality was 10,184.</v>
    <v>91</v>
    <v>92</v>
    <v>94</v>
    <v>95</v>
    <v>96</v>
    <v>Boljevac</v>
    <v>97</v>
    <v>Boljevac</v>
    <v>mdp/vdpid/7217848209014521857</v>
  </rv>
  <rv s="1">
    <v>536870912</v>
    <v>Borča</v>
    <v>01861a2c-d942-9de5-9451-6b90cf4ba1d6</v>
    <v>en-US</v>
    <v>Map</v>
  </rv>
  <rv s="1">
    <v>536870912</v>
    <v>Palilula, Belgrade</v>
    <v>530535d8-7e0e-a169-1a2f-3f0aa8443c2a</v>
    <v>en-US</v>
    <v>Map</v>
  </rv>
  <rv s="2">
    <fb>56.81</fb>
    <v>8</v>
  </rv>
  <rv s="3">
    <v>9</v>
    <v>6</v>
    <v>36</v>
    <v>7</v>
    <v>0</v>
    <v>Image of Borča</v>
  </rv>
  <rv s="2">
    <fb>44.866666666667001</fb>
    <v>9</v>
  </rv>
  <rv s="5">
    <v>https://www.bing.com/search?q=bor%c4%8da+serbia&amp;form=skydnc</v>
    <v>Learn more on Bing</v>
  </rv>
  <rv s="2">
    <fb>20.466666666666999</fb>
    <v>9</v>
  </rv>
  <rv s="2">
    <fb>46086</fb>
    <v>8</v>
  </rv>
  <rv s="13">
    <v>#VALUE!</v>
    <v>en-US</v>
    <v>01861a2c-d942-9de5-9451-6b90cf4ba1d6</v>
    <v>536870912</v>
    <v>1</v>
    <v>37</v>
    <v>38</v>
    <v>Borča</v>
    <v>4</v>
    <v>5</v>
    <v>Map</v>
    <v>6</v>
    <v>39</v>
    <v>69</v>
    <v>100</v>
    <v>101</v>
    <v>5</v>
    <v>Borča is an urban settlement of the municipality of Palilula, Belgrade, Serbia. It is located in the left-bank part of the municipality, separated by the Danube from the rest of the city. As of 2011, it has a population of 46,086 inhabitants.</v>
    <v>102</v>
    <v>103</v>
    <v>104</v>
    <v>105</v>
    <v>Borča</v>
    <v>106</v>
    <v>13</v>
    <v>Borča</v>
    <v>mdp/vdpid/7217617828176723971</v>
  </rv>
  <rv s="1">
    <v>536870912</v>
    <v>Brčko</v>
    <v>88e1cc9d-01fe-55a5-3cb2-eb8568b5d96a</v>
    <v>en-US</v>
    <v>Map</v>
  </rv>
  <rv s="1">
    <v>536870912</v>
    <v>Brčko District</v>
    <v>b396b6d6-db22-9823-d1e7-7291c204c629</v>
    <v>en-US</v>
    <v>Map</v>
  </rv>
  <rv s="2">
    <fb>402</fb>
    <v>8</v>
  </rv>
  <rv s="3">
    <v>10</v>
    <v>6</v>
    <v>40</v>
    <v>7</v>
    <v>0</v>
    <v>Image of Brčko</v>
  </rv>
  <rv s="2">
    <fb>44.878333333333003</fb>
    <v>9</v>
  </rv>
  <rv s="1">
    <v>805306368</v>
    <v>Siniša Milić (Mayor)</v>
    <v>66090ec0-dc15-6c23-ef18-e0da98c503eb</v>
    <v>en-US</v>
    <v>Generic</v>
  </rv>
  <rv s="4">
    <v>12</v>
  </rv>
  <rv s="5">
    <v>https://www.bing.com/search?q=br%c4%8dko&amp;form=skydnc</v>
    <v>Learn more on Bing</v>
  </rv>
  <rv s="2">
    <fb>18.809166666667</fb>
    <v>9</v>
  </rv>
  <rv s="2">
    <fb>39893</fb>
    <v>8</v>
  </rv>
  <rv s="7">
    <v>#VALUE!</v>
    <v>en-US</v>
    <v>88e1cc9d-01fe-55a5-3cb2-eb8568b5d96a</v>
    <v>536870912</v>
    <v>1</v>
    <v>41</v>
    <v>14</v>
    <v>Brčko</v>
    <v>4</v>
    <v>5</v>
    <v>Map</v>
    <v>6</v>
    <v>15</v>
    <v>27</v>
    <v>109</v>
    <v>110</v>
    <v>29</v>
    <v>Brčko pronounced is a city and the administrative seat of Brčko District, in northern Bosnia and Herzegovina. It lies on the banks of Sava river across from Croatia. As of 2013, it has a population of 39,893 inhabitants.</v>
    <v>111</v>
    <v>112</v>
    <v>114</v>
    <v>115</v>
    <v>116</v>
    <v>Brčko</v>
    <v>117</v>
    <v>13</v>
    <v>Brčko</v>
    <v>mdp/vdpid/7217175424902627329</v>
  </rv>
  <rv s="1">
    <v>536870912</v>
    <v>Brus</v>
    <v>071ce6fb-38e9-faeb-9f94-ab8bb919e0d9</v>
    <v>en-US</v>
    <v>Map</v>
  </rv>
  <rv s="2">
    <fb>606</fb>
    <v>8</v>
  </rv>
  <rv s="3">
    <v>11</v>
    <v>6</v>
    <v>42</v>
    <v>7</v>
    <v>0</v>
    <v>Image of Brus</v>
  </rv>
  <rv s="2">
    <fb>43.383611111111001</fb>
    <v>9</v>
  </rv>
  <rv s="1">
    <v>805306368</v>
    <v>Dalibor Savić (Mayor)</v>
    <v>84fd6d45-68a7-33ab-f487-7f8c00cf9141</v>
    <v>en-US</v>
    <v>Generic</v>
  </rv>
  <rv s="4">
    <v>13</v>
  </rv>
  <rv s="5">
    <v>https://www.bing.com/search?q=brus+serbia&amp;form=skydnc</v>
    <v>Learn more on Bing</v>
  </rv>
  <rv s="2">
    <fb>21.033611111111</fb>
    <v>9</v>
  </rv>
  <rv s="2">
    <fb>13594</fb>
    <v>8</v>
  </rv>
  <rv s="4">
    <v>14</v>
  </rv>
  <rv s="6">
    <v>#VALUE!</v>
    <v>en-US</v>
    <v>071ce6fb-38e9-faeb-9f94-ab8bb919e0d9</v>
    <v>536870912</v>
    <v>1</v>
    <v>43</v>
    <v>2</v>
    <v>Brus</v>
    <v>4</v>
    <v>5</v>
    <v>Map</v>
    <v>6</v>
    <v>7</v>
    <v>3</v>
    <v>120</v>
    <v>5</v>
    <v>Brus is a town and municipality located in the Rasina District of southern Serbia. According to the 2022 census, the population of the town is 4,183, while the population of the municipality is 13,594. It is located at 430 metres above sea ...</v>
    <v>121</v>
    <v>122</v>
    <v>124</v>
    <v>125</v>
    <v>126</v>
    <v>Brus</v>
    <v>127</v>
    <v>128</v>
    <v>Brus</v>
    <v>mdp/vdpid/7218008644900618241</v>
  </rv>
  <rv s="1">
    <v>536870912</v>
    <v>Budva</v>
    <v>4ce4cd71-8915-e81e-c36c-96ec00e85e74</v>
    <v>en-US</v>
    <v>Map</v>
  </rv>
  <rv s="1">
    <v>536870912</v>
    <v>Budva Municipality</v>
    <v>503e2de6-0c48-43c1-8cf7-dc1bf1d58e41</v>
    <v>en-US</v>
    <v>Map</v>
  </rv>
  <rv s="2">
    <fb>122</fb>
    <v>8</v>
  </rv>
  <rv s="3">
    <v>12</v>
    <v>6</v>
    <v>44</v>
    <v>7</v>
    <v>0</v>
    <v>Image of Budva</v>
  </rv>
  <rv s="2">
    <fb>42.284722222222001</fb>
    <v>9</v>
  </rv>
  <rv s="1">
    <v>805306368</v>
    <v>Nikola Jovanović (Mayor)</v>
    <v>754309ca-02d7-4da0-a708-9738bf9ccde5</v>
    <v>en-US</v>
    <v>Generic</v>
  </rv>
  <rv s="4">
    <v>15</v>
  </rv>
  <rv s="5">
    <v>https://www.bing.com/search?q=budva&amp;form=skydnc</v>
    <v>Learn more on Bing</v>
  </rv>
  <rv s="2">
    <fb>18.845277777778001</fb>
    <v>9</v>
  </rv>
  <rv s="2">
    <fb>26667</fb>
    <v>8</v>
  </rv>
  <rv s="6">
    <v>#VALUE!</v>
    <v>en-US</v>
    <v>4ce4cd71-8915-e81e-c36c-96ec00e85e74</v>
    <v>536870912</v>
    <v>1</v>
    <v>45</v>
    <v>2</v>
    <v>Budva</v>
    <v>4</v>
    <v>5</v>
    <v>Map</v>
    <v>6</v>
    <v>46</v>
    <v>131</v>
    <v>132</v>
    <v>42</v>
    <v>Budva is a town in the Coastal region of Montenegro. It had 27,445 inhabitants as of 2023, and is the centre of Budva Municipality. The coastal area around Budva, called the Budva Riviera, is the center of Montenegrin tourism, known for its ...</v>
    <v>133</v>
    <v>134</v>
    <v>136</v>
    <v>137</v>
    <v>138</v>
    <v>Budva</v>
    <v>139</v>
    <v>13</v>
    <v>Budva</v>
    <v>mdp/vdpid/7217544332948013058</v>
  </rv>
  <rv s="1">
    <v>536870912</v>
    <v>Čačak</v>
    <v>0f5756bc-c2cc-73c3-8464-68c5f13ebba6</v>
    <v>en-US</v>
    <v>Map</v>
  </rv>
  <rv s="1">
    <v>536870912</v>
    <v>Moravica District</v>
    <v>89880f9b-171d-cf8e-1a53-c8d66d717f83</v>
    <v>en-US</v>
    <v>Map</v>
  </rv>
  <rv s="2">
    <fb>636</fb>
    <v>8</v>
  </rv>
  <rv s="3">
    <v>13</v>
    <v>6</v>
    <v>47</v>
    <v>7</v>
    <v>0</v>
    <v>Image of Čačak</v>
  </rv>
  <rv s="2">
    <fb>43.891388888888997</fb>
    <v>9</v>
  </rv>
  <rv s="1">
    <v>805306368</v>
    <v>Milun Todorović (Mayor)</v>
    <v>9cd9d4bf-6c5f-f3bf-6056-521592c9947b</v>
    <v>en-US</v>
    <v>Generic</v>
  </rv>
  <rv s="4">
    <v>16</v>
  </rv>
  <rv s="5">
    <v>https://www.bing.com/search?q=%c4%8da%c4%8dak&amp;form=skydnc</v>
    <v>Learn more on Bing</v>
  </rv>
  <rv s="2">
    <fb>20.349722222221999</fb>
    <v>9</v>
  </rv>
  <rv s="2">
    <fb>71883</fb>
    <v>8</v>
  </rv>
  <rv s="8">
    <v>#VALUE!</v>
    <v>en-US</v>
    <v>0f5756bc-c2cc-73c3-8464-68c5f13ebba6</v>
    <v>536870912</v>
    <v>1</v>
    <v>48</v>
    <v>18</v>
    <v>Čačak</v>
    <v>4</v>
    <v>5</v>
    <v>Map</v>
    <v>6</v>
    <v>49</v>
    <v>142</v>
    <v>143</v>
    <v>5</v>
    <v>Čačak is a city and the administrative center of the Moravica District in central Serbia. It is located in the West Morava Valley within the geographical region of Šumadija. As of the 2022 census, the city within administrative borders has a ...</v>
    <v>144</v>
    <v>145</v>
    <v>147</v>
    <v>148</v>
    <v>149</v>
    <v>Čačak</v>
    <v>150</v>
    <v>Čačak</v>
    <v>mdp/vdpid/7217680993824538625</v>
  </rv>
  <rv s="1">
    <v>536870912</v>
    <v>Chicago</v>
    <v>28deeb39-ca49-4bd4-913b-929b1de4b25b</v>
    <v>en-US</v>
    <v>Map</v>
  </rv>
  <rv s="1">
    <v>536870912</v>
    <v>Illinois</v>
    <v>4131acb8-628a-4241-8920-ca79eab9dade</v>
    <v>en-US</v>
    <v>Map</v>
  </rv>
  <rv s="1">
    <v>536870912</v>
    <v>Cook County, Illinois</v>
    <v>38aa555d-a2f0-25e5-0b3a-ef870e8ef479</v>
    <v>en-US</v>
    <v>Map</v>
  </rv>
  <rv s="2">
    <fb>606.42399999999998</fb>
    <v>8</v>
  </rv>
  <rv s="1">
    <v>536870912</v>
    <v>United States</v>
    <v>e3ef53f2-d302-b22a-64a7-6e0ce65be769</v>
    <v>en-US</v>
    <v>Map</v>
  </rv>
  <rv s="3">
    <v>14</v>
    <v>6</v>
    <v>50</v>
    <v>7</v>
    <v>0</v>
    <v>Image of Chicago</v>
  </rv>
  <rv s="2">
    <fb>41.850029999999997</fb>
    <v>9</v>
  </rv>
  <rv s="1">
    <v>805306368</v>
    <v>Brandon Johnson (Mayor)</v>
    <v>51f38d5b-94e7-0349-9108-0f3eb33757cb</v>
    <v>en-US</v>
    <v>Generic</v>
  </rv>
  <rv s="4">
    <v>17</v>
  </rv>
  <rv s="5">
    <v>https://www.bing.com/search?q=chicago&amp;form=skydnc</v>
    <v>Learn more on Bing</v>
  </rv>
  <rv s="2">
    <fb>-87.650049999999993</fb>
    <v>9</v>
  </rv>
  <rv s="2">
    <fb>2664452</fb>
    <v>8</v>
  </rv>
  <rv s="4">
    <v>18</v>
  </rv>
  <rv s="7">
    <v>#VALUE!</v>
    <v>en-US</v>
    <v>28deeb39-ca49-4bd4-913b-929b1de4b25b</v>
    <v>536870912</v>
    <v>1</v>
    <v>51</v>
    <v>14</v>
    <v>Chicago</v>
    <v>4</v>
    <v>5</v>
    <v>Map</v>
    <v>6</v>
    <v>46</v>
    <v>153</v>
    <v>154</v>
    <v>155</v>
    <v>156</v>
    <v>Chicago is the most populous city in the U.S. state of Illinois and in the Midwestern United States. With a population of 2,746,388, as of the 2020 census, it is the third-most populous city in the United States after New York City and Los ...</v>
    <v>157</v>
    <v>158</v>
    <v>160</v>
    <v>161</v>
    <v>162</v>
    <v>Chicago</v>
    <v>163</v>
    <v>164</v>
    <v>Chicago</v>
    <v>mdp/vdpid/5477686925982695427</v>
  </rv>
  <rv s="1">
    <v>536870912</v>
    <v>Futog</v>
    <v>dec15ce4-4f04-11a8-c0f1-caba3c93f363</v>
    <v>en-US</v>
    <v>Map</v>
  </rv>
  <rv s="2">
    <fb>83.26</fb>
    <v>8</v>
  </rv>
  <rv s="3">
    <v>15</v>
    <v>6</v>
    <v>52</v>
    <v>7</v>
    <v>0</v>
    <v>Image of Futog</v>
  </rv>
  <rv s="2">
    <fb>45.233333333333</fb>
    <v>9</v>
  </rv>
  <rv s="5">
    <v>https://www.bing.com/search?q=futog+serbia&amp;form=skydnc</v>
    <v>Learn more on Bing</v>
  </rv>
  <rv s="2">
    <fb>19.716666666666999</fb>
    <v>9</v>
  </rv>
  <rv s="2">
    <fb>18641</fb>
    <v>8</v>
  </rv>
  <rv s="13">
    <v>#VALUE!</v>
    <v>en-US</v>
    <v>dec15ce4-4f04-11a8-c0f1-caba3c93f363</v>
    <v>536870912</v>
    <v>1</v>
    <v>53</v>
    <v>38</v>
    <v>Futog</v>
    <v>4</v>
    <v>5</v>
    <v>Map</v>
    <v>6</v>
    <v>39</v>
    <v>60</v>
    <v>60</v>
    <v>167</v>
    <v>5</v>
    <v>Futog is a village of the city of Novi Sad, Serbia, with a population of 18,642 according to the 2011 census in Serbia. It is situated in southern Bačka, 7 km away from Novi Sad. Terra que Futog et a quibusdam Batkay nominatur is the first ...</v>
    <v>168</v>
    <v>169</v>
    <v>170</v>
    <v>171</v>
    <v>Futog</v>
    <v>172</v>
    <v>13</v>
    <v>Futog</v>
    <v>mdp/vdpid/7025422270445125633</v>
  </rv>
  <rv s="1">
    <v>536870912</v>
    <v>Inđija</v>
    <v>c6dac086-ac85-f354-a3f6-92e6648c83f8</v>
    <v>en-US</v>
    <v>Map</v>
  </rv>
  <rv s="1">
    <v>536870912</v>
    <v>Srem District</v>
    <v>794a5a1f-3b8d-b0db-5924-9e66b4a9fb3f</v>
    <v>en-US</v>
    <v>Map</v>
  </rv>
  <rv s="2">
    <fb>384</fb>
    <v>8</v>
  </rv>
  <rv s="3">
    <v>16</v>
    <v>6</v>
    <v>54</v>
    <v>7</v>
    <v>0</v>
    <v>Image of Inđija</v>
  </rv>
  <rv s="2">
    <fb>45.049166666666999</fb>
    <v>9</v>
  </rv>
  <rv s="1">
    <v>805306368</v>
    <v>Vladimir Gak (Mayor)</v>
    <v>e7cdfe8b-3599-bfa4-b449-9ce703683306</v>
    <v>en-US</v>
    <v>Generic</v>
  </rv>
  <rv s="4">
    <v>19</v>
  </rv>
  <rv s="5">
    <v>https://www.bing.com/search?q=in%c4%91ija+serbia&amp;form=skydnc</v>
    <v>Learn more on Bing</v>
  </rv>
  <rv s="2">
    <fb>20.079166666667</fb>
    <v>9</v>
  </rv>
  <rv s="10">
    <v>#VALUE!</v>
    <v>en-US</v>
    <v>c6dac086-ac85-f354-a3f6-92e6648c83f8</v>
    <v>536870912</v>
    <v>1</v>
    <v>55</v>
    <v>26</v>
    <v>Inđija</v>
    <v>4</v>
    <v>5</v>
    <v>Map</v>
    <v>6</v>
    <v>23</v>
    <v>175</v>
    <v>176</v>
    <v>5</v>
    <v>Inđija is a town and a municipality located in the Srem District of the autonomous province of Vojvodina, Serbia. As of 2023, the town has total population of 37,013, while the municipality has 47,433 inhabitants. It is located in the ...</v>
    <v>177</v>
    <v>178</v>
    <v>180</v>
    <v>181</v>
    <v>182</v>
    <v>Inđija</v>
    <v>Inđija</v>
    <v>mdp/vdpid/7025437837654753281</v>
  </rv>
  <rv s="1">
    <v>536870912</v>
    <v>Istočno Sarajevo</v>
    <v>f2002b6d-a737-c3ec-d423-9fdd24773d46</v>
    <v>en-US</v>
    <v>Map</v>
  </rv>
  <rv s="2">
    <fb>1425.77</fb>
    <v>8</v>
  </rv>
  <rv s="3">
    <v>17</v>
    <v>6</v>
    <v>56</v>
    <v>7</v>
    <v>0</v>
    <v>Image of Istočno Sarajevo</v>
  </rv>
  <rv s="2">
    <fb>43.826111111110997</fb>
    <v>9</v>
  </rv>
  <rv s="1">
    <v>805306368</v>
    <v>Ljubiša Ćosić (Mayor)</v>
    <v>8a9489f0-a16b-bdf2-7161-1f74c60507a2</v>
    <v>en-US</v>
    <v>Generic</v>
  </rv>
  <rv s="4">
    <v>20</v>
  </rv>
  <rv s="5">
    <v>https://www.bing.com/search?q=isto%c4%8dno+sarajevo&amp;form=skydnc</v>
    <v>Learn more on Bing</v>
  </rv>
  <rv s="2">
    <fb>18.351666666667001</fb>
    <v>9</v>
  </rv>
  <rv s="2">
    <fb>61516</fb>
    <v>8</v>
  </rv>
  <rv s="14">
    <v>#VALUE!</v>
    <v>en-US</v>
    <v>f2002b6d-a737-c3ec-d423-9fdd24773d46</v>
    <v>536870912</v>
    <v>1</v>
    <v>58</v>
    <v>59</v>
    <v>Istočno Sarajevo</v>
    <v>4</v>
    <v>5</v>
    <v>Map</v>
    <v>6</v>
    <v>15</v>
    <v>185</v>
    <v>29</v>
    <v>Istočno Sarajevo is a city in Bosnia and Herzegovina, located in the Republika Srpska entity. It consists of a few suburban areas located south of pre-war Sarajevo which are now included in the Republika Srpska entity, and newly built areas.</v>
    <v>186</v>
    <v>187</v>
    <v>189</v>
    <v>190</v>
    <v>191</v>
    <v>Istočno Sarajevo</v>
    <v>192</v>
    <v>Istočno Sarajevo</v>
    <v>mdp/vdpid/7217248468874559493</v>
  </rv>
  <rv s="1">
    <v>536870912</v>
    <v>Kotor</v>
    <v>0139d1ec-b16b-57ec-1f1e-b9fe80729740</v>
    <v>en-US</v>
    <v>Map</v>
  </rv>
  <rv s="1">
    <v>536870912</v>
    <v>Kotor Municipality</v>
    <v>7d2d8478-3eec-4f4d-8904-aed6eb68977f</v>
    <v>en-US</v>
    <v>Map</v>
  </rv>
  <rv s="2">
    <fb>335</fb>
    <v>8</v>
  </rv>
  <rv s="3">
    <v>18</v>
    <v>6</v>
    <v>60</v>
    <v>7</v>
    <v>0</v>
    <v>Image of Kotor</v>
  </rv>
  <rv s="2">
    <fb>42.42539</fb>
    <v>9</v>
  </rv>
  <rv s="1">
    <v>805306368</v>
    <v>Vladimir Jokić (Mayor)</v>
    <v>4a9f2ab6-c9f3-e49e-26df-54332ceddd5b</v>
    <v>en-US</v>
    <v>Generic</v>
  </rv>
  <rv s="4">
    <v>21</v>
  </rv>
  <rv s="5">
    <v>https://www.bing.com/search?q=kotor+montenegro&amp;form=skydnc</v>
    <v>Learn more on Bing</v>
  </rv>
  <rv s="2">
    <fb>18.771191000000002</fb>
    <v>9</v>
  </rv>
  <rv s="2">
    <fb>21916</fb>
    <v>8</v>
  </rv>
  <rv s="4">
    <v>22</v>
  </rv>
  <rv s="6">
    <v>#VALUE!</v>
    <v>en-US</v>
    <v>0139d1ec-b16b-57ec-1f1e-b9fe80729740</v>
    <v>536870912</v>
    <v>1</v>
    <v>61</v>
    <v>2</v>
    <v>Kotor</v>
    <v>4</v>
    <v>5</v>
    <v>Map</v>
    <v>6</v>
    <v>46</v>
    <v>195</v>
    <v>196</v>
    <v>42</v>
    <v>Kotor, historically known as Cattaro, is a town in Coastal region of Montenegro. It is located in a secluded part of the Bay of Kotor. The city has a population of 13,347 and is the administrative center of Kotor Municipality.</v>
    <v>197</v>
    <v>198</v>
    <v>200</v>
    <v>201</v>
    <v>202</v>
    <v>Kotor</v>
    <v>203</v>
    <v>204</v>
    <v>Kotor</v>
    <v>mdp/vdpid/7217539187275202561</v>
  </rv>
  <rv s="1">
    <v>536870912</v>
    <v>Kovin</v>
    <v>163aef17-8d77-c969-b7de-e04b67f29b53</v>
    <v>en-US</v>
    <v>Map</v>
  </rv>
  <rv s="1">
    <v>536870912</v>
    <v>South Banat District</v>
    <v>1cb5c728-aa24-9ee2-4304-f3f4d7f9bc36</v>
    <v>en-US</v>
    <v>Map</v>
  </rv>
  <rv s="2">
    <fb>730</fb>
    <v>8</v>
  </rv>
  <rv s="3">
    <v>19</v>
    <v>6</v>
    <v>62</v>
    <v>7</v>
    <v>0</v>
    <v>Image of Kovin</v>
  </rv>
  <rv s="2">
    <fb>44.747500000000002</fb>
    <v>9</v>
  </rv>
  <rv s="1">
    <v>805306368</v>
    <v>Sanja Petrović (Mayor)</v>
    <v>afee3bc9-8eeb-d0cf-589d-7facacf7e2df</v>
    <v>en-US</v>
    <v>Generic</v>
  </rv>
  <rv s="4">
    <v>23</v>
  </rv>
  <rv s="5">
    <v>https://www.bing.com/search?q=kovin+serbia&amp;form=skydnc</v>
    <v>Learn more on Bing</v>
  </rv>
  <rv s="2">
    <fb>20.976109999999998</fb>
    <v>9</v>
  </rv>
  <rv s="10">
    <v>#VALUE!</v>
    <v>en-US</v>
    <v>163aef17-8d77-c969-b7de-e04b67f29b53</v>
    <v>536870912</v>
    <v>1</v>
    <v>63</v>
    <v>26</v>
    <v>Kovin</v>
    <v>4</v>
    <v>5</v>
    <v>Map</v>
    <v>6</v>
    <v>23</v>
    <v>207</v>
    <v>208</v>
    <v>5</v>
    <v>Kovin is a town and municipality located in the South Banat District of the autonomous province of Vojvodina, Serbia. The town has a population of 13,515, while the municipality has 33,722 inhabitants.</v>
    <v>209</v>
    <v>210</v>
    <v>212</v>
    <v>213</v>
    <v>214</v>
    <v>Kovin</v>
    <v>Kovin</v>
    <v>mdp/vdpid/7217728775922909185</v>
  </rv>
  <rv s="1">
    <v>536870912</v>
    <v>Kragujevac</v>
    <v>6b77d1fb-2b98-8e27-be26-20301072e191</v>
    <v>en-US</v>
    <v>Map</v>
  </rv>
  <rv s="1">
    <v>536870912</v>
    <v>Stanovo</v>
    <v>0918e0cb-e07c-9a7f-94ef-e236238003ce</v>
    <v>en-US</v>
    <v>Map</v>
  </rv>
  <rv s="2">
    <fb>865</fb>
    <v>8</v>
  </rv>
  <rv s="3">
    <v>20</v>
    <v>6</v>
    <v>64</v>
    <v>7</v>
    <v>0</v>
    <v>Image of Kragujevac</v>
  </rv>
  <rv s="2">
    <fb>44.014166666667002</fb>
    <v>9</v>
  </rv>
  <rv s="1">
    <v>805306368</v>
    <v>Nikola Dašić (Mayor)</v>
    <v>e4133a72-05a0-2b3b-54cf-4c56c55f60fe</v>
    <v>en-US</v>
    <v>Generic</v>
  </rv>
  <rv s="4">
    <v>24</v>
  </rv>
  <rv s="5">
    <v>https://www.bing.com/search?q=kragujevac&amp;form=skydnc</v>
    <v>Learn more on Bing</v>
  </rv>
  <rv s="2">
    <fb>20.939444444444</fb>
    <v>9</v>
  </rv>
  <rv s="2">
    <fb>150623</fb>
    <v>8</v>
  </rv>
  <rv s="7">
    <v>#VALUE!</v>
    <v>en-US</v>
    <v>6b77d1fb-2b98-8e27-be26-20301072e191</v>
    <v>536870912</v>
    <v>1</v>
    <v>65</v>
    <v>14</v>
    <v>Kragujevac</v>
    <v>4</v>
    <v>5</v>
    <v>Map</v>
    <v>6</v>
    <v>49</v>
    <v>16</v>
    <v>217</v>
    <v>218</v>
    <v>5</v>
    <v>Kragujevac is the fourth largest city in Serbia and the administrative centre of the Šumadija District. It is the historical centre of the geographical region of Šumadija in central Serbia, and is situated on the banks of the Lepenica River. ...</v>
    <v>219</v>
    <v>220</v>
    <v>222</v>
    <v>223</v>
    <v>224</v>
    <v>Kragujevac</v>
    <v>225</v>
    <v>13</v>
    <v>Kragujevac</v>
    <v>mdp/vdpid/7217702230055452673</v>
  </rv>
  <rv s="1">
    <v>536870912</v>
    <v>Kruševac</v>
    <v>8a3e4505-01cf-12b5-c922-9c2a6b790520</v>
    <v>en-US</v>
    <v>Map</v>
  </rv>
  <rv s="2">
    <fb>854</fb>
    <v>8</v>
  </rv>
  <rv s="3">
    <v>21</v>
    <v>6</v>
    <v>66</v>
    <v>7</v>
    <v>0</v>
    <v>Image of Kruševac</v>
  </rv>
  <rv s="2">
    <fb>43.583333333333002</fb>
    <v>9</v>
  </rv>
  <rv s="1">
    <v>805306368</v>
    <v>Ivan Manojlović (Mayor)</v>
    <v>02e7edee-71ca-98ea-7fa6-4d5e5d99d10c</v>
    <v>en-US</v>
    <v>Generic</v>
  </rv>
  <rv s="4">
    <v>25</v>
  </rv>
  <rv s="5">
    <v>https://www.bing.com/search?q=kru%c5%a1evac+serbia&amp;form=skydnc</v>
    <v>Learn more on Bing</v>
  </rv>
  <rv s="2">
    <fb>21.326666666666998</fb>
    <v>9</v>
  </rv>
  <rv s="2">
    <fb>58745</fb>
    <v>8</v>
  </rv>
  <rv s="6">
    <v>#VALUE!</v>
    <v>en-US</v>
    <v>8a3e4505-01cf-12b5-c922-9c2a6b790520</v>
    <v>536870912</v>
    <v>1</v>
    <v>67</v>
    <v>2</v>
    <v>Kruševac</v>
    <v>4</v>
    <v>5</v>
    <v>Map</v>
    <v>6</v>
    <v>39</v>
    <v>3</v>
    <v>228</v>
    <v>5</v>
    <v>Kruševac is a city and the administrative center of the Rasina District in central Serbia. It is located in the valley of West Morava, on Rasina river. According to the 2022 census, the city administrative area has a population of 113,582 while ...</v>
    <v>229</v>
    <v>230</v>
    <v>232</v>
    <v>233</v>
    <v>234</v>
    <v>Kruševac</v>
    <v>235</v>
    <v>13</v>
    <v>Kruševac</v>
    <v>mdp/vdpid/7217825265869651969</v>
  </rv>
  <rv s="1">
    <v>536870912</v>
    <v>Kula, Serbia</v>
    <v>9cc7b4e6-4746-b0df-415a-f5f29fb9eebc</v>
    <v>en-US</v>
    <v>Map</v>
  </rv>
  <rv s="1">
    <v>536870912</v>
    <v>West Bačka District</v>
    <v>49dfcc2e-e5c1-4a00-a596-a4b6abe539fd</v>
    <v>en-US</v>
    <v>Map</v>
  </rv>
  <rv s="2">
    <fb>481</fb>
    <v>8</v>
  </rv>
  <rv s="3">
    <v>22</v>
    <v>6</v>
    <v>68</v>
    <v>7</v>
    <v>0</v>
    <v>Image of Kula, Serbia</v>
  </rv>
  <rv s="2">
    <fb>45.6</fb>
    <v>9</v>
  </rv>
  <rv s="1">
    <v>805306368</v>
    <v>Damjan Miljanić (Mayor)</v>
    <v>30e43c64-db61-2f28-f7fe-1a67abfd1092</v>
    <v>en-US</v>
    <v>Generic</v>
  </rv>
  <rv s="4">
    <v>26</v>
  </rv>
  <rv s="5">
    <v>https://www.bing.com/search?q=kula+vojvodina&amp;form=skydnc</v>
    <v>Learn more on Bing</v>
  </rv>
  <rv s="2">
    <fb>19.533333333333001</fb>
    <v>9</v>
  </rv>
  <rv s="2">
    <fb>35592</fb>
    <v>8</v>
  </rv>
  <rv s="6">
    <v>#VALUE!</v>
    <v>en-US</v>
    <v>9cc7b4e6-4746-b0df-415a-f5f29fb9eebc</v>
    <v>536870912</v>
    <v>1</v>
    <v>69</v>
    <v>2</v>
    <v>Kula, Serbia</v>
    <v>4</v>
    <v>5</v>
    <v>Map</v>
    <v>6</v>
    <v>7</v>
    <v>238</v>
    <v>239</v>
    <v>5</v>
    <v>Kula is a town and municipality located in the West Bačka District of the autonomous province of Vojvodina, Serbia. The town has a population of 22,105, while the municipality has a population of 35,592.</v>
    <v>240</v>
    <v>241</v>
    <v>243</v>
    <v>244</v>
    <v>245</v>
    <v>Kula, Serbia</v>
    <v>246</v>
    <v>128</v>
    <v>Kula, Serbia</v>
    <v>mdp/vdpid/7025029407756517377</v>
  </rv>
  <rv s="1">
    <v>536870912</v>
    <v>Lajkovac</v>
    <v>fc0e68a2-48c8-d6c4-c8cd-67f06004711c</v>
    <v>en-US</v>
    <v>Map</v>
  </rv>
  <rv s="1">
    <v>536870912</v>
    <v>Kolubara District</v>
    <v>4cfa6c33-d52d-c0e0-d59e-4b97a24548aa</v>
    <v>en-US</v>
    <v>Map</v>
  </rv>
  <rv s="2">
    <fb>186</fb>
    <v>8</v>
  </rv>
  <rv s="3">
    <v>23</v>
    <v>6</v>
    <v>70</v>
    <v>7</v>
    <v>0</v>
    <v>Image of Lajkovac</v>
  </rv>
  <rv s="2">
    <fb>44.366666666667001</fb>
    <v>9</v>
  </rv>
  <rv s="1">
    <v>805306368</v>
    <v>Andrija Živković (Mayor)</v>
    <v>af9e0155-7be5-b707-fdf6-a345821ec0bc</v>
    <v>en-US</v>
    <v>Generic</v>
  </rv>
  <rv s="4">
    <v>27</v>
  </rv>
  <rv s="5">
    <v>https://www.bing.com/search?q=lajkovac+serbia&amp;form=skydnc</v>
    <v>Learn more on Bing</v>
  </rv>
  <rv s="2">
    <fb>20.166666666666998</fb>
    <v>9</v>
  </rv>
  <rv s="10">
    <v>#VALUE!</v>
    <v>en-US</v>
    <v>fc0e68a2-48c8-d6c4-c8cd-67f06004711c</v>
    <v>536870912</v>
    <v>1</v>
    <v>71</v>
    <v>26</v>
    <v>Lajkovac</v>
    <v>4</v>
    <v>5</v>
    <v>Map</v>
    <v>6</v>
    <v>23</v>
    <v>249</v>
    <v>250</v>
    <v>5</v>
    <v>Lajkovac is a town and municipality located in the Kolubara District of western Serbia. As of 2011, it has population of 3,249 inhabitants, while the municipality has 15,475 inhabitants. It is located in the valley of river Kolubara and near the ...</v>
    <v>251</v>
    <v>252</v>
    <v>254</v>
    <v>255</v>
    <v>256</v>
    <v>Lajkovac</v>
    <v>Lajkovac</v>
    <v>mdp/vdpid/7217615809995079681</v>
  </rv>
  <rv s="1">
    <v>536870912</v>
    <v>Lazarevac</v>
    <v>e971582c-4a20-21c8-3fc8-67f808245bbe</v>
    <v>en-US</v>
    <v>Map</v>
  </rv>
  <rv s="2">
    <fb>383.51</fb>
    <v>8</v>
  </rv>
  <rv s="3">
    <v>24</v>
    <v>6</v>
    <v>72</v>
    <v>7</v>
    <v>0</v>
    <v>Image of Lazarevac</v>
  </rv>
  <rv s="1">
    <v>805306368</v>
    <v>Bojan Stević (Mayor)</v>
    <v>51a96b61-89ce-8228-61d7-10c3f0bc1e15</v>
    <v>en-US</v>
    <v>Generic</v>
  </rv>
  <rv s="4">
    <v>28</v>
  </rv>
  <rv s="5">
    <v>https://www.bing.com/search?q=lazarevac&amp;form=skydnc</v>
    <v>Learn more on Bing</v>
  </rv>
  <rv s="2">
    <fb>20.25</fb>
    <v>9</v>
  </rv>
  <rv s="15">
    <v>#VALUE!</v>
    <v>en-US</v>
    <v>e971582c-4a20-21c8-3fc8-67f808245bbe</v>
    <v>536870912</v>
    <v>1</v>
    <v>73</v>
    <v>74</v>
    <v>Lazarevac</v>
    <v>4</v>
    <v>5</v>
    <v>Map</v>
    <v>6</v>
    <v>23</v>
    <v>69</v>
    <v>259</v>
    <v>5</v>
    <v>Lazarevac is a municipality of the city of Belgrade. As of 2022, the town has a total population of 27,635 inhabitants, while the municipal area has a total of 55,146 inhabitants. Its name stems from the name of medieval Serbian ruler Prince ...</v>
    <v>260</v>
    <v>252</v>
    <v>262</v>
    <v>263</v>
    <v>264</v>
    <v>Lazarevac</v>
    <v>Lazarevac</v>
    <v>mdp/vdpid/7217615666331779073</v>
  </rv>
  <rv s="1">
    <v>536870912</v>
    <v>Ljubljana</v>
    <v>692acddf-5ab9-3bdd-6312-19b898edc3c2</v>
    <v>en-US</v>
    <v>Map</v>
  </rv>
  <rv s="2">
    <fb>163.76</fb>
    <v>8</v>
  </rv>
  <rv s="1">
    <v>536870912</v>
    <v>Kingdom of Serbs, Croats and Slovenes</v>
    <v>0a415c49-1434-4ddb-89ad-8dff4c50b643</v>
    <v>en-US</v>
    <v>Map</v>
  </rv>
  <rv s="3">
    <v>25</v>
    <v>6</v>
    <v>75</v>
    <v>7</v>
    <v>0</v>
    <v>Image of Ljubljana</v>
  </rv>
  <rv s="2">
    <fb>46.051388888888901</fb>
    <v>9</v>
  </rv>
  <rv s="1">
    <v>805306368</v>
    <v>Zoran Janković (Mayor)</v>
    <v>02500339-a76b-99e4-64e9-a33e31d7704e</v>
    <v>en-US</v>
    <v>Generic</v>
  </rv>
  <rv s="4">
    <v>29</v>
  </rv>
  <rv s="5">
    <v>https://www.bing.com/search?q=ljubljana&amp;form=skydnc</v>
    <v>Learn more on Bing</v>
  </rv>
  <rv s="2">
    <fb>14.5061111111111</fb>
    <v>9</v>
  </rv>
  <rv s="2">
    <fb>284293</fb>
    <v>8</v>
  </rv>
  <rv s="16">
    <v>#VALUE!</v>
    <v>en-US</v>
    <v>692acddf-5ab9-3bdd-6312-19b898edc3c2</v>
    <v>536870912</v>
    <v>1</v>
    <v>76</v>
    <v>77</v>
    <v>Ljubljana</v>
    <v>4</v>
    <v>5</v>
    <v>Map</v>
    <v>6</v>
    <v>7</v>
    <v>267</v>
    <v>268</v>
    <v>Ljubljana is the capital and largest city of Slovenia, located along a trade route between the northern Adriatic Sea and the Danube region, north of the country's largest marsh, inhabited since prehistoric times. It is the country's cultural, ...</v>
    <v>269</v>
    <v>270</v>
    <v>272</v>
    <v>273</v>
    <v>274</v>
    <v>Ljubljana</v>
    <v>275</v>
    <v>57</v>
    <v>Ljubljana</v>
    <v>mdp/vdpid/7023096595918880769</v>
  </rv>
  <rv s="1">
    <v>536870912</v>
    <v>Loznica</v>
    <v>c443d32b-d630-6e7f-6b4f-9538b01191c9</v>
    <v>en-US</v>
    <v>Map</v>
  </rv>
  <rv s="1">
    <v>536870912</v>
    <v>Mačva District</v>
    <v>3700cd33-66a3-4307-a6a4-0052c5a1a9cd</v>
    <v>en-US</v>
    <v>Map</v>
  </rv>
  <rv s="2">
    <fb>612</fb>
    <v>8</v>
  </rv>
  <rv s="3">
    <v>26</v>
    <v>6</v>
    <v>78</v>
    <v>7</v>
    <v>0</v>
    <v>Image of Loznica</v>
  </rv>
  <rv s="2">
    <fb>44.533333333332997</fb>
    <v>9</v>
  </rv>
  <rv s="1">
    <v>805306368</v>
    <v>Dragana Lukić (Mayor)</v>
    <v>553f7b63-3010-f18e-2a92-a9157dd69c33</v>
    <v>en-US</v>
    <v>Generic</v>
  </rv>
  <rv s="4">
    <v>30</v>
  </rv>
  <rv s="5">
    <v>https://www.bing.com/search?q=loznica&amp;form=skydnc</v>
    <v>Learn more on Bing</v>
  </rv>
  <rv s="2">
    <fb>19.225833333333</fb>
    <v>9</v>
  </rv>
  <rv s="17">
    <v>#VALUE!</v>
    <v>en-US</v>
    <v>c443d32b-d630-6e7f-6b4f-9538b01191c9</v>
    <v>536870912</v>
    <v>1</v>
    <v>79</v>
    <v>80</v>
    <v>Loznica</v>
    <v>4</v>
    <v>5</v>
    <v>Map</v>
    <v>6</v>
    <v>23</v>
    <v>278</v>
    <v>279</v>
    <v>5</v>
    <v>Loznica is a city located in the Mačva District of western Serbia, on the right bank of the Drina river. In 2022 the city had a total population of 19,515, while the administrative area had a population of 72,062.</v>
    <v>280</v>
    <v>281</v>
    <v>283</v>
    <v>284</v>
    <v>285</v>
    <v>Loznica</v>
    <v>13</v>
    <v>Loznica</v>
    <v>mdp/vdpid/7217215406115651585</v>
  </rv>
  <rv s="1">
    <v>536870912</v>
    <v>Mionica</v>
    <v>a1bb17ed-6104-d97a-2242-6a319f285555</v>
    <v>en-US</v>
    <v>Map</v>
  </rv>
  <rv s="2">
    <fb>329</fb>
    <v>8</v>
  </rv>
  <rv s="3">
    <v>27</v>
    <v>6</v>
    <v>81</v>
    <v>7</v>
    <v>0</v>
    <v>Image of Mionica</v>
  </rv>
  <rv s="2">
    <fb>44.25</fb>
    <v>9</v>
  </rv>
  <rv s="1">
    <v>805306368</v>
    <v>Boban Janković (Mayor)</v>
    <v>fa7af788-bcd8-278c-d3bd-f9937ff33d3a</v>
    <v>en-US</v>
    <v>Generic</v>
  </rv>
  <rv s="4">
    <v>31</v>
  </rv>
  <rv s="5">
    <v>https://www.bing.com/search?q=mionica&amp;form=skydnc</v>
    <v>Learn more on Bing</v>
  </rv>
  <rv s="2">
    <fb>20.083333333333002</fb>
    <v>9</v>
  </rv>
  <rv s="10">
    <v>#VALUE!</v>
    <v>en-US</v>
    <v>a1bb17ed-6104-d97a-2242-6a319f285555</v>
    <v>536870912</v>
    <v>1</v>
    <v>82</v>
    <v>26</v>
    <v>Mionica</v>
    <v>4</v>
    <v>5</v>
    <v>Map</v>
    <v>6</v>
    <v>23</v>
    <v>249</v>
    <v>288</v>
    <v>5</v>
    <v>Mionica is a town and municipality located in the Kolubara District of western Serbia. As of 2011, the population of the town is 1,571, while population of the municipality is 14,263 inhabitants.</v>
    <v>289</v>
    <v>290</v>
    <v>292</v>
    <v>293</v>
    <v>294</v>
    <v>Mionica</v>
    <v>Mionica</v>
    <v>mdp/vdpid/7217661336564531201</v>
  </rv>
  <rv s="1">
    <v>536870912</v>
    <v>Mladenovac</v>
    <v>3446171c-050a-5988-e0a5-a8f18391566f</v>
    <v>en-US</v>
    <v>Map</v>
  </rv>
  <rv s="2">
    <fb>339</fb>
    <v>8</v>
  </rv>
  <rv s="3">
    <v>28</v>
    <v>6</v>
    <v>83</v>
    <v>7</v>
    <v>0</v>
    <v>Image of Mladenovac</v>
  </rv>
  <rv s="2">
    <fb>44.433333333333003</fb>
    <v>9</v>
  </rv>
  <rv s="5">
    <v>https://www.bing.com/search?q=mladenovac+serbia&amp;form=skydnc</v>
    <v>Learn more on Bing</v>
  </rv>
  <rv s="2">
    <fb>20.7</fb>
    <v>9</v>
  </rv>
  <rv s="2">
    <fb>56389</fb>
    <v>8</v>
  </rv>
  <rv s="18">
    <v>#VALUE!</v>
    <v>en-US</v>
    <v>3446171c-050a-5988-e0a5-a8f18391566f</v>
    <v>536870912</v>
    <v>1</v>
    <v>84</v>
    <v>85</v>
    <v>Mladenovac</v>
    <v>4</v>
    <v>5</v>
    <v>Map</v>
    <v>6</v>
    <v>86</v>
    <v>297</v>
    <v>5</v>
    <v>Mladenovac is a municipality of the city of Belgrade. According to the 2024 census results, the municipality has a population of 56,389 inhabitants, while the urban area has 22,346 inhabitants. Its name stems from word 'youth' in Serbian. ...</v>
    <v>298</v>
    <v>299</v>
    <v>300</v>
    <v>301</v>
    <v>Mladenovac</v>
    <v>302</v>
    <v>128</v>
    <v>Mladenovac</v>
    <v>mdp/vdpid/7217641676284624897</v>
  </rv>
  <rv s="1">
    <v>536870912</v>
    <v>Nikšić</v>
    <v>1ceadb1a-feb5-d176-ee37-bcc21ada0198</v>
    <v>en-US</v>
    <v>Map</v>
  </rv>
  <rv s="1">
    <v>536870912</v>
    <v>Nikšić Municipality</v>
    <v>56916107-c5a6-4deb-8948-9e0835af416f</v>
    <v>en-US</v>
    <v>Map</v>
  </rv>
  <rv s="2">
    <fb>2065</fb>
    <v>8</v>
  </rv>
  <rv s="3">
    <v>29</v>
    <v>6</v>
    <v>87</v>
    <v>7</v>
    <v>0</v>
    <v>Image of Nikšić</v>
  </rv>
  <rv s="2">
    <fb>42.78</fb>
    <v>9</v>
  </rv>
  <rv s="1">
    <v>805306368</v>
    <v>Marko Kovačević (Mayor)</v>
    <v>29c36c1b-da64-6ef3-3639-bf4709a794bd</v>
    <v>en-US</v>
    <v>Generic</v>
  </rv>
  <rv s="4">
    <v>32</v>
  </rv>
  <rv s="5">
    <v>https://www.bing.com/search?q=niksic&amp;form=skydnc</v>
    <v>Learn more on Bing</v>
  </rv>
  <rv s="2">
    <fb>18.940000000000001</fb>
    <v>9</v>
  </rv>
  <rv s="2">
    <fb>65705</fb>
    <v>8</v>
  </rv>
  <rv s="7">
    <v>#VALUE!</v>
    <v>en-US</v>
    <v>1ceadb1a-feb5-d176-ee37-bcc21ada0198</v>
    <v>536870912</v>
    <v>1</v>
    <v>88</v>
    <v>14</v>
    <v>Nikšić</v>
    <v>4</v>
    <v>5</v>
    <v>Map</v>
    <v>6</v>
    <v>46</v>
    <v>305</v>
    <v>305</v>
    <v>306</v>
    <v>42</v>
    <v>Nikšić, is the second largest city in Montenegro, with a total population of 32,046 located in the west of the country, in the centre of the spacious Nikšić field at the foot of Trebjesa Hill. It is the center of Nikšić Municipality with ...</v>
    <v>307</v>
    <v>308</v>
    <v>310</v>
    <v>311</v>
    <v>312</v>
    <v>Nikšić</v>
    <v>313</v>
    <v>128</v>
    <v>Nikšić</v>
    <v>mdp/vdpid/7217523864023072772</v>
  </rv>
  <rv s="1">
    <v>536870912</v>
    <v>Niš</v>
    <v>447f8b6e-1f5a-1ee6-9d0d-78b958e88b88</v>
    <v>en-US</v>
    <v>Map</v>
  </rv>
  <rv s="1">
    <v>536870912</v>
    <v>Nišava District</v>
    <v>56d3daa6-6c64-4b4e-b95a-92901df4991a</v>
    <v>en-US</v>
    <v>Map</v>
  </rv>
  <rv s="1">
    <v>536870912</v>
    <v>Pantelej</v>
    <v>4a07afe5-adb4-7b9b-69f2-7dcecf28f138</v>
    <v>en-US</v>
    <v>Map</v>
  </rv>
  <rv s="2">
    <fb>597</fb>
    <v>8</v>
  </rv>
  <rv s="3">
    <v>30</v>
    <v>6</v>
    <v>89</v>
    <v>7</v>
    <v>0</v>
    <v>Image of Niš</v>
  </rv>
  <rv s="2">
    <fb>43.319166666667002</fb>
    <v>9</v>
  </rv>
  <rv s="1">
    <v>805306368</v>
    <v>Dragoslav Pavlović (Mayor)</v>
    <v>7e841187-d4d8-dfe3-aa47-18163288ea61</v>
    <v>en-US</v>
    <v>Generic</v>
  </rv>
  <rv s="4">
    <v>33</v>
  </rv>
  <rv s="5">
    <v>https://www.bing.com/search?q=naissus&amp;form=skydnc</v>
    <v>Learn more on Bing</v>
  </rv>
  <rv s="2">
    <fb>21.896111111111001</fb>
    <v>9</v>
  </rv>
  <rv s="2">
    <fb>260237</fb>
    <v>8</v>
  </rv>
  <rv s="7">
    <v>#VALUE!</v>
    <v>en-US</v>
    <v>447f8b6e-1f5a-1ee6-9d0d-78b958e88b88</v>
    <v>536870912</v>
    <v>1</v>
    <v>90</v>
    <v>14</v>
    <v>Niš</v>
    <v>4</v>
    <v>5</v>
    <v>Map</v>
    <v>6</v>
    <v>39</v>
    <v>316</v>
    <v>317</v>
    <v>318</v>
    <v>5</v>
    <v>Niš, less often spelled in English as Nish, is the third largest city in Serbia and the administrative center of the Nišava District. It is located in the southern part of Serbia. According to the 2011 census, the city proper has a population of ...</v>
    <v>319</v>
    <v>320</v>
    <v>322</v>
    <v>323</v>
    <v>324</v>
    <v>Niš</v>
    <v>325</v>
    <v>57</v>
    <v>Niš</v>
    <v>mdp/vdpid/7218044821426929665</v>
  </rv>
  <rv s="1">
    <v>536870912</v>
    <v>Novi Bečej</v>
    <v>9985e7e9-5861-a3d3-29c3-c2567cb88aa3</v>
    <v>en-US</v>
    <v>Map</v>
  </rv>
  <rv s="1">
    <v>536870912</v>
    <v>Central Banat District</v>
    <v>db1a60f4-4d29-db90-281b-e46d486156c9</v>
    <v>en-US</v>
    <v>Map</v>
  </rv>
  <rv s="2">
    <fb>609</fb>
    <v>8</v>
  </rv>
  <rv s="3">
    <v>31</v>
    <v>6</v>
    <v>91</v>
    <v>7</v>
    <v>0</v>
    <v>Image of Novi Bečej</v>
  </rv>
  <rv s="1">
    <v>805306368</v>
    <v>Saša Maksimović (Mayor)</v>
    <v>a26a40b9-7d7d-c40d-4bbb-4a5a6bb55edd</v>
    <v>en-US</v>
    <v>Generic</v>
  </rv>
  <rv s="4">
    <v>34</v>
  </rv>
  <rv s="5">
    <v>https://www.bing.com/search?q=novi+be%c4%8dej+serbia&amp;form=skydnc</v>
    <v>Learn more on Bing</v>
  </rv>
  <rv s="2">
    <fb>20.116666666667001</fb>
    <v>9</v>
  </rv>
  <rv s="2">
    <fb>19886</fb>
    <v>8</v>
  </rv>
  <rv s="6">
    <v>#VALUE!</v>
    <v>en-US</v>
    <v>9985e7e9-5861-a3d3-29c3-c2567cb88aa3</v>
    <v>536870912</v>
    <v>1</v>
    <v>92</v>
    <v>2</v>
    <v>Novi Bečej</v>
    <v>4</v>
    <v>5</v>
    <v>Map</v>
    <v>6</v>
    <v>7</v>
    <v>328</v>
    <v>329</v>
    <v>5</v>
    <v>Novi Bečej is a town and municipality located in the Central Banat District of the autonomous province of Vojvodina, Serbia. The town has a population of 10,967, while Novi Bečej municipality has 19,886 inhabitants.</v>
    <v>330</v>
    <v>241</v>
    <v>332</v>
    <v>333</v>
    <v>334</v>
    <v>Novi Bečej</v>
    <v>335</v>
    <v>13</v>
    <v>Novi Bečej</v>
    <v>mdp/vdpid/7025416263899807745</v>
  </rv>
  <rv s="1">
    <v>536870912</v>
    <v>Novi Kneževac</v>
    <v>afb0eb87-ee53-847d-d0cc-d3b0d7afe63f</v>
    <v>en-US</v>
    <v>Map</v>
  </rv>
  <rv s="1">
    <v>536870912</v>
    <v>North Banat District</v>
    <v>412e968b-7dc0-3592-2176-e8fa00bf85fa</v>
    <v>en-US</v>
    <v>Map</v>
  </rv>
  <rv s="2">
    <fb>305</fb>
    <v>8</v>
  </rv>
  <rv s="3">
    <v>32</v>
    <v>6</v>
    <v>93</v>
    <v>7</v>
    <v>0</v>
    <v>Image of Novi Kneževac</v>
  </rv>
  <rv s="2">
    <fb>46.05</fb>
    <v>9</v>
  </rv>
  <rv s="1">
    <v>805306368</v>
    <v>Irena Slavković (Mayor)</v>
    <v>e1c4bd6f-8c83-df51-0df0-0a3b8e485d5c</v>
    <v>en-US</v>
    <v>Generic</v>
  </rv>
  <rv s="4">
    <v>35</v>
  </rv>
  <rv s="5">
    <v>https://www.bing.com/search?q=novi+kne%c5%beevac+serbia&amp;form=skydnc</v>
    <v>Learn more on Bing</v>
  </rv>
  <rv s="2">
    <fb>20.100000000000001</fb>
    <v>9</v>
  </rv>
  <rv s="2">
    <fb>6960</fb>
    <v>8</v>
  </rv>
  <rv s="8">
    <v>#VALUE!</v>
    <v>en-US</v>
    <v>afb0eb87-ee53-847d-d0cc-d3b0d7afe63f</v>
    <v>536870912</v>
    <v>1</v>
    <v>95</v>
    <v>18</v>
    <v>Novi Kneževac</v>
    <v>4</v>
    <v>5</v>
    <v>Map</v>
    <v>6</v>
    <v>39</v>
    <v>338</v>
    <v>339</v>
    <v>5</v>
    <v>Novi Kneževac is a town and municipality located in the North Banat District of the autonomous province of Vojvodina, Serbia. The town has a population of 6,960, while the Novi Kneževac municipality has 11,269 inhabitants according to.</v>
    <v>340</v>
    <v>341</v>
    <v>343</v>
    <v>344</v>
    <v>345</v>
    <v>Novi Kneževac</v>
    <v>346</v>
    <v>Novi Kneževac</v>
    <v>mdp/vdpid/7025363143811399681</v>
  </rv>
  <rv s="1">
    <v>536870912</v>
    <v>Novi Pazar</v>
    <v>b5eefe51-288b-9e48-eb10-f78ccdf6c29c</v>
    <v>en-US</v>
    <v>Map</v>
  </rv>
  <rv s="1">
    <v>536870912</v>
    <v>Raška District</v>
    <v>8c653eb9-14b9-489c-ab00-f38e993137fc</v>
    <v>en-US</v>
    <v>Map</v>
  </rv>
  <rv s="2">
    <fb>15.34</fb>
    <v>8</v>
  </rv>
  <rv s="3">
    <v>33</v>
    <v>6</v>
    <v>96</v>
    <v>7</v>
    <v>0</v>
    <v>Image of Novi Pazar</v>
  </rv>
  <rv s="2">
    <fb>43.15</fb>
    <v>9</v>
  </rv>
  <rv s="1">
    <v>805306368</v>
    <v>Nihat Biševac (Mayor)</v>
    <v>4c098adb-ceb1-5a60-0c85-9c0db1bc41f5</v>
    <v>en-US</v>
    <v>Generic</v>
  </rv>
  <rv s="4">
    <v>36</v>
  </rv>
  <rv s="5">
    <v>https://www.bing.com/search?q=novi+pazar&amp;form=skydnc</v>
    <v>Learn more on Bing</v>
  </rv>
  <rv s="2">
    <fb>20.516666666667</fb>
    <v>9</v>
  </rv>
  <rv s="2">
    <fb>66527</fb>
    <v>8</v>
  </rv>
  <rv s="6">
    <v>#VALUE!</v>
    <v>en-US</v>
    <v>b5eefe51-288b-9e48-eb10-f78ccdf6c29c</v>
    <v>536870912</v>
    <v>1</v>
    <v>97</v>
    <v>2</v>
    <v>Novi Pazar</v>
    <v>4</v>
    <v>5</v>
    <v>Map</v>
    <v>6</v>
    <v>39</v>
    <v>349</v>
    <v>350</v>
    <v>5</v>
    <v>Novi Pazar is a city located in the Raška District of southwestern Serbia. As of the 2022 census, the urban area has 71,462 inhabitants, while the city administrative area has 106,720 inhabitants. The city is the cultural center of the Bosniaks ...</v>
    <v>351</v>
    <v>352</v>
    <v>354</v>
    <v>355</v>
    <v>356</v>
    <v>Novi Pazar</v>
    <v>357</v>
    <v>13</v>
    <v>Novi Pazar</v>
    <v>mdp/vdpid/7217916596033945601</v>
  </rv>
  <rv s="1">
    <v>536870912</v>
    <v>Novi Sad</v>
    <v>8a5f6880-c050-37eb-8055-e16a11208d0a</v>
    <v>en-US</v>
    <v>Map</v>
  </rv>
  <rv s="2">
    <fb>106.2</fb>
    <v>8</v>
  </rv>
  <rv s="3">
    <v>34</v>
    <v>6</v>
    <v>98</v>
    <v>7</v>
    <v>0</v>
    <v>Image of Novi Sad</v>
  </rv>
  <rv s="2">
    <fb>45.264444444444003</fb>
    <v>9</v>
  </rv>
  <rv s="1">
    <v>805306368</v>
    <v>Milan Đurić (Mayor)</v>
    <v>d503906c-fab0-12c4-a9b3-bb269565abde</v>
    <v>en-US</v>
    <v>Generic</v>
  </rv>
  <rv s="4">
    <v>37</v>
  </rv>
  <rv s="5">
    <v>https://www.bing.com/search?q=novi+sad&amp;form=skydnc</v>
    <v>Learn more on Bing</v>
  </rv>
  <rv s="2">
    <fb>19.831666666667001</fb>
    <v>9</v>
  </rv>
  <rv s="2">
    <fb>380000</fb>
    <v>8</v>
  </rv>
  <rv s="6">
    <v>#VALUE!</v>
    <v>en-US</v>
    <v>8a5f6880-c050-37eb-8055-e16a11208d0a</v>
    <v>536870912</v>
    <v>1</v>
    <v>99</v>
    <v>2</v>
    <v>Novi Sad</v>
    <v>4</v>
    <v>5</v>
    <v>Map</v>
    <v>6</v>
    <v>100</v>
    <v>60</v>
    <v>360</v>
    <v>5</v>
    <v>Novi Sad is the second largest city in Serbia after the capital Belgrade and the capital of the autonomous province of Vojvodina. It is located in the southern portion of the Pannonian Plain on the border of the Bačka and Syrmia geographical ...</v>
    <v>361</v>
    <v>362</v>
    <v>364</v>
    <v>365</v>
    <v>366</v>
    <v>Novi Sad</v>
    <v>367</v>
    <v>57</v>
    <v>Novi Sad</v>
    <v>mdp/vdpid/7025432343351394305</v>
  </rv>
  <rv s="1">
    <v>536870912</v>
    <v>Osijek</v>
    <v>b439c214-c2af-6cab-2bd8-a350c563c976</v>
    <v>en-US</v>
    <v>Map</v>
  </rv>
  <rv s="1">
    <v>536870912</v>
    <v>Osijek-Baranja County</v>
    <v>14807793-d9c8-613d-6c09-c3a09da2ecd1</v>
    <v>en-US</v>
    <v>Map</v>
  </rv>
  <rv s="2">
    <fb>174.9</fb>
    <v>8</v>
  </rv>
  <rv s="1">
    <v>536870912</v>
    <v>Croatia</v>
    <v>98d53c1a-2e70-ba44-c85e-1e3d4c505723</v>
    <v>en-US</v>
    <v>Map</v>
  </rv>
  <rv s="3">
    <v>35</v>
    <v>6</v>
    <v>101</v>
    <v>7</v>
    <v>0</v>
    <v>Image of Osijek</v>
  </rv>
  <rv s="2">
    <fb>45.560277777777998</fb>
    <v>9</v>
  </rv>
  <rv s="1">
    <v>805306368</v>
    <v>Ivan Radić (Mayor)</v>
    <v>f0356257-8ab0-5f17-5f40-af33e25025c4</v>
    <v>en-US</v>
    <v>Generic</v>
  </rv>
  <rv s="4">
    <v>38</v>
  </rv>
  <rv s="5">
    <v>https://www.bing.com/search?q=osijek&amp;form=skydnc</v>
    <v>Learn more on Bing</v>
  </rv>
  <rv s="2">
    <fb>18.670277777778001</fb>
    <v>9</v>
  </rv>
  <rv s="2">
    <fb>96313</fb>
    <v>8</v>
  </rv>
  <rv s="6">
    <v>#VALUE!</v>
    <v>en-US</v>
    <v>b439c214-c2af-6cab-2bd8-a350c563c976</v>
    <v>536870912</v>
    <v>1</v>
    <v>102</v>
    <v>2</v>
    <v>Osijek</v>
    <v>4</v>
    <v>5</v>
    <v>Map</v>
    <v>6</v>
    <v>103</v>
    <v>370</v>
    <v>371</v>
    <v>372</v>
    <v>Osijek is the fourth-largest city in Croatia, with a population of 96,848 in 2021. It is the largest city and the economic and cultural centre of the eastern Croatian region of Slavonia, as well as the administrative centre of Osijek-Baranja ...</v>
    <v>373</v>
    <v>374</v>
    <v>376</v>
    <v>377</v>
    <v>378</v>
    <v>Osijek</v>
    <v>379</v>
    <v>13</v>
    <v>Osijek</v>
    <v>mdp/vdpid/7024992463353806849</v>
  </rv>
  <rv s="1">
    <v>536870912</v>
    <v>Pančevo</v>
    <v>be941e1b-a3bd-9ef6-5a01-c9c826d7cde1</v>
    <v>en-US</v>
    <v>Map</v>
  </rv>
  <rv s="2">
    <fb>148.80000000000001</fb>
    <v>8</v>
  </rv>
  <rv s="3">
    <v>36</v>
    <v>6</v>
    <v>104</v>
    <v>7</v>
    <v>0</v>
    <v>Image of Pančevo</v>
  </rv>
  <rv s="2">
    <fb>44.873888888888999</fb>
    <v>9</v>
  </rv>
  <rv s="1">
    <v>805306368</v>
    <v>Aleksandar Stevanović (Mayor)</v>
    <v>be8922ee-6c01-c2ab-f177-eb65b2d58925</v>
    <v>en-US</v>
    <v>Generic</v>
  </rv>
  <rv s="1">
    <v>805306368</v>
    <v>Dragana Kuprešanin (Deputy mayor)</v>
    <v>90623875-b499-3077-bdec-140baeb0d4aa</v>
    <v>en-US</v>
    <v>Generic</v>
  </rv>
  <rv s="4">
    <v>39</v>
  </rv>
  <rv s="5">
    <v>https://www.bing.com/search?q=pan%c4%8devo&amp;form=skydnc</v>
    <v>Learn more on Bing</v>
  </rv>
  <rv s="2">
    <fb>20.651944444443998</fb>
    <v>9</v>
  </rv>
  <rv s="2">
    <fb>73401</fb>
    <v>8</v>
  </rv>
  <rv s="8">
    <v>#VALUE!</v>
    <v>en-US</v>
    <v>be941e1b-a3bd-9ef6-5a01-c9c826d7cde1</v>
    <v>536870912</v>
    <v>1</v>
    <v>105</v>
    <v>18</v>
    <v>Pančevo</v>
    <v>4</v>
    <v>5</v>
    <v>Map</v>
    <v>6</v>
    <v>7</v>
    <v>207</v>
    <v>382</v>
    <v>5</v>
    <v>Pančevo is a city and the administrative center of the South Banat District in the autonomous province of Vojvodina, Serbia. It is located on the shores of rivers Tamiš and Danube, in the southern part of Banat region. Since the 2022 census ...</v>
    <v>383</v>
    <v>384</v>
    <v>387</v>
    <v>388</v>
    <v>389</v>
    <v>Pančevo</v>
    <v>390</v>
    <v>Pančevo</v>
    <v>mdp/vdpid/7217626078238474241</v>
  </rv>
  <rv s="1">
    <v>536870912</v>
    <v>Pazin</v>
    <v>fae51ff2-57b2-daa4-9d3e-98cf69c05205</v>
    <v>en-US</v>
    <v>Map</v>
  </rv>
  <rv s="1">
    <v>536870912</v>
    <v>Istria County</v>
    <v>0ab1de7c-4cb1-cbce-c3eb-ca81244e251f</v>
    <v>en-US</v>
    <v>Map</v>
  </rv>
  <rv s="2">
    <fb>139.1</fb>
    <v>8</v>
  </rv>
  <rv s="3">
    <v>37</v>
    <v>6</v>
    <v>106</v>
    <v>7</v>
    <v>0</v>
    <v>Image of Pazin</v>
  </rv>
  <rv s="2">
    <fb>45.239166666667003</fb>
    <v>9</v>
  </rv>
  <rv s="1">
    <v>805306368</v>
    <v>Suzana Jašić (Mayor)</v>
    <v>6105da3c-f309-50f9-2ab0-0802f9f5bbbf</v>
    <v>en-US</v>
    <v>Generic</v>
  </rv>
  <rv s="4">
    <v>40</v>
  </rv>
  <rv s="5">
    <v>https://www.bing.com/search?q=pazin+croatia&amp;form=skydnc</v>
    <v>Learn more on Bing</v>
  </rv>
  <rv s="2">
    <fb>13.938611111110999</fb>
    <v>9</v>
  </rv>
  <rv s="2">
    <fb>8279</fb>
    <v>8</v>
  </rv>
  <rv s="8">
    <v>#VALUE!</v>
    <v>en-US</v>
    <v>fae51ff2-57b2-daa4-9d3e-98cf69c05205</v>
    <v>536870912</v>
    <v>1</v>
    <v>107</v>
    <v>18</v>
    <v>Pazin</v>
    <v>4</v>
    <v>5</v>
    <v>Map</v>
    <v>6</v>
    <v>103</v>
    <v>393</v>
    <v>394</v>
    <v>372</v>
    <v>Pazin is a town in western Croatia, the administrative seat of Istria County. It is known for the medieval Pazin Castle, the former residence of the Istrian margraves.</v>
    <v>395</v>
    <v>396</v>
    <v>398</v>
    <v>399</v>
    <v>400</v>
    <v>Pazin</v>
    <v>401</v>
    <v>Pazin</v>
    <v>mdp/vdpid/7022795337165176833</v>
  </rv>
  <rv s="1">
    <v>536870912</v>
    <v>Podgorica</v>
    <v>8cd372e7-d0e4-b57b-42ec-5553ec56dfd8</v>
    <v>en-US</v>
    <v>Map</v>
  </rv>
  <rv s="1">
    <v>536870912</v>
    <v>Podgorica Capital City</v>
    <v>1b997d29-a716-4538-a589-3e0996365705</v>
    <v>en-US</v>
    <v>Map</v>
  </rv>
  <rv s="2">
    <fb>1205</fb>
    <v>8</v>
  </rv>
  <rv s="3">
    <v>38</v>
    <v>6</v>
    <v>108</v>
    <v>7</v>
    <v>0</v>
    <v>Image of Podgorica</v>
  </rv>
  <rv s="2">
    <fb>42.441388888888902</fb>
    <v>9</v>
  </rv>
  <rv s="1">
    <v>805306368</v>
    <v>Saša Mujović (Mayor)</v>
    <v>9de21faa-90a8-d8b5-ee0f-a2c794543ad5</v>
    <v>en-US</v>
    <v>Generic</v>
  </rv>
  <rv s="4">
    <v>41</v>
  </rv>
  <rv s="5">
    <v>https://www.bing.com/search?q=podgorica&amp;form=skydnc</v>
    <v>Learn more on Bing</v>
  </rv>
  <rv s="2">
    <fb>19.262777777777799</fb>
    <v>9</v>
  </rv>
  <rv s="2">
    <fb>150977</fb>
    <v>8</v>
  </rv>
  <rv s="6">
    <v>#VALUE!</v>
    <v>en-US</v>
    <v>8cd372e7-d0e4-b57b-42ec-5553ec56dfd8</v>
    <v>536870912</v>
    <v>1</v>
    <v>109</v>
    <v>2</v>
    <v>Podgorica</v>
    <v>4</v>
    <v>5</v>
    <v>Map</v>
    <v>6</v>
    <v>39</v>
    <v>404</v>
    <v>405</v>
    <v>42</v>
    <v>Podgorica is the capital and largest city of Montenegro. The city is just north of Lake Skadar and close to coastal destinations on the Adriatic Sea. Historically, it was Podgorica's position at the confluence of the Ribnica and Morača rivers ...</v>
    <v>406</v>
    <v>407</v>
    <v>409</v>
    <v>410</v>
    <v>411</v>
    <v>Podgorica</v>
    <v>412</v>
    <v>13</v>
    <v>Podgorica</v>
    <v>mdp/vdpid/7217566949457264641</v>
  </rv>
  <rv s="1">
    <v>536870912</v>
    <v>Požarevac</v>
    <v>9afec1e0-cf9b-31c4-9900-e1da855e9351</v>
    <v>en-US</v>
    <v>Map</v>
  </rv>
  <rv s="1">
    <v>536870912</v>
    <v>Braničevo District</v>
    <v>a07c6be1-8fe2-69b2-2187-39748186c884</v>
    <v>en-US</v>
    <v>Map</v>
  </rv>
  <rv s="2">
    <fb>491</fb>
    <v>8</v>
  </rv>
  <rv s="1">
    <v>536870912</v>
    <v>Ottoman Empire</v>
    <v>0c338db5-c8ae-34d9-8c36-b66fbb5a1277</v>
    <v>en-US</v>
    <v>Map</v>
  </rv>
  <rv s="3">
    <v>39</v>
    <v>6</v>
    <v>110</v>
    <v>7</v>
    <v>0</v>
    <v>Image of Požarevac</v>
  </rv>
  <rv s="2">
    <fb>44.62</fb>
    <v>9</v>
  </rv>
  <rv s="1">
    <v>805306368</v>
    <v>Saša Pavlović (Mayor)</v>
    <v>a74f4dc4-4214-ea50-8fb7-f19f012e69be</v>
    <v>en-US</v>
    <v>Generic</v>
  </rv>
  <rv s="4">
    <v>42</v>
  </rv>
  <rv s="5">
    <v>https://www.bing.com/search?q=po%c5%bearevac&amp;form=skydnc</v>
    <v>Learn more on Bing</v>
  </rv>
  <rv s="2">
    <fb>21.189722222221999</fb>
    <v>9</v>
  </rv>
  <rv s="17">
    <v>#VALUE!</v>
    <v>en-US</v>
    <v>9afec1e0-cf9b-31c4-9900-e1da855e9351</v>
    <v>536870912</v>
    <v>1</v>
    <v>111</v>
    <v>80</v>
    <v>Požarevac</v>
    <v>4</v>
    <v>5</v>
    <v>Map</v>
    <v>6</v>
    <v>23</v>
    <v>415</v>
    <v>416</v>
    <v>417</v>
    <v>Požarevac is a city and the administrative centre of the Braničevo District in eastern Serbia. It is located between three rivers: Danube, Great Morava and Mlava and below the hill Čačalica. As of 2022, the city has a population of 51,271 while ...</v>
    <v>418</v>
    <v>419</v>
    <v>421</v>
    <v>422</v>
    <v>423</v>
    <v>Požarevac</v>
    <v>13</v>
    <v>Požarevac</v>
    <v>mdp/vdpid/7217740332841041923</v>
  </rv>
  <rv s="1">
    <v>536870912</v>
    <v>Pula</v>
    <v>95e3a1fd-ee0d-b33a-0913-1ce532028e53</v>
    <v>en-US</v>
    <v>Map</v>
  </rv>
  <rv s="2">
    <fb>53.8</fb>
    <v>8</v>
  </rv>
  <rv s="3">
    <v>40</v>
    <v>6</v>
    <v>112</v>
    <v>7</v>
    <v>0</v>
    <v>Image of Pula</v>
  </rv>
  <rv s="2">
    <fb>44.870277777777801</fb>
    <v>9</v>
  </rv>
  <rv s="1">
    <v>805306368</v>
    <v>Filip Zoričić (Mayor)</v>
    <v>09b04604-4a68-b464-deb2-ea81e141e14a</v>
    <v>en-US</v>
    <v>Generic</v>
  </rv>
  <rv s="4">
    <v>43</v>
  </rv>
  <rv s="5">
    <v>https://www.bing.com/search?q=pula&amp;form=skydnc</v>
    <v>Learn more on Bing</v>
  </rv>
  <rv s="2">
    <fb>13.845555555555601</fb>
    <v>9</v>
  </rv>
  <rv s="2">
    <fb>52220</fb>
    <v>8</v>
  </rv>
  <rv s="6">
    <v>#VALUE!</v>
    <v>en-US</v>
    <v>95e3a1fd-ee0d-b33a-0913-1ce532028e53</v>
    <v>536870912</v>
    <v>1</v>
    <v>113</v>
    <v>2</v>
    <v>Pula</v>
    <v>4</v>
    <v>5</v>
    <v>Map</v>
    <v>6</v>
    <v>103</v>
    <v>393</v>
    <v>426</v>
    <v>372</v>
    <v>Pula, also known as Pola, is the largest city in Istria County, Croatia, and the seventh-largest city in the country, situated at the southern tip of the Istrian peninsula in northwestern Croatia, with a population of 52,220 in 2021. It is known ...</v>
    <v>427</v>
    <v>428</v>
    <v>430</v>
    <v>431</v>
    <v>432</v>
    <v>Pula</v>
    <v>433</v>
    <v>37</v>
    <v>Pula</v>
    <v>mdp/vdpid/7214953444409344001</v>
  </rv>
  <rv s="1">
    <v>536870912</v>
    <v>Radoboj</v>
    <v>5aa6041b-7c4c-4819-fe23-ece51757138b</v>
    <v>en-US</v>
    <v>Map</v>
  </rv>
  <rv s="1">
    <v>536870912</v>
    <v>Krapina-Zagorje County</v>
    <v>09dfd6fa-edab-6236-5d76-c848770f2467</v>
    <v>en-US</v>
    <v>Map</v>
  </rv>
  <rv s="2">
    <fb>33.1</fb>
    <v>8</v>
  </rv>
  <rv s="3">
    <v>41</v>
    <v>6</v>
    <v>114</v>
    <v>7</v>
    <v>0</v>
    <v>Image of Radoboj</v>
  </rv>
  <rv s="2">
    <fb>46.166400000000003</fb>
    <v>9</v>
  </rv>
  <rv s="4">
    <v>44</v>
  </rv>
  <rv s="5">
    <v>https://www.bing.com/search?q=radoboj&amp;form=skydnc</v>
    <v>Learn more on Bing</v>
  </rv>
  <rv s="2">
    <fb>15.9236</fb>
    <v>9</v>
  </rv>
  <rv s="2">
    <fb>2981</fb>
    <v>8</v>
  </rv>
  <rv s="4">
    <v>45</v>
  </rv>
  <rv s="6">
    <v>#VALUE!</v>
    <v>en-US</v>
    <v>5aa6041b-7c4c-4819-fe23-ece51757138b</v>
    <v>536870912</v>
    <v>1</v>
    <v>115</v>
    <v>2</v>
    <v>Radoboj</v>
    <v>4</v>
    <v>5</v>
    <v>Map</v>
    <v>6</v>
    <v>103</v>
    <v>436</v>
    <v>437</v>
    <v>372</v>
    <v>Radoboj is a village and municipality in Krapina-Zagorje County in Croatia. In the 2011 census, 99.0% of the population were Croats. Radoboj is particularly famous as a major fossil site. During the 19th Century a large number of fossils from ...</v>
    <v>438</v>
    <v>439</v>
    <v>440</v>
    <v>441</v>
    <v>442</v>
    <v>Radoboj</v>
    <v>443</v>
    <v>444</v>
    <v>Radoboj</v>
    <v>mdp/vdpid/7023236995832872961</v>
  </rv>
  <rv s="1">
    <v>536870912</v>
    <v>Rijeka</v>
    <v>c9478fe8-2609-b676-4498-cf66f4813e23</v>
    <v>en-US</v>
    <v>Map</v>
  </rv>
  <rv s="1">
    <v>536870912</v>
    <v>Primorje-Gorski Kotar County</v>
    <v>c270a103-7c7f-57ff-7129-a8b9864b8e93</v>
    <v>en-US</v>
    <v>Map</v>
  </rv>
  <rv s="2">
    <fb>43.4</fb>
    <v>8</v>
  </rv>
  <rv s="3">
    <v>42</v>
    <v>6</v>
    <v>116</v>
    <v>7</v>
    <v>0</v>
    <v>Image of Rijeka</v>
  </rv>
  <rv s="2">
    <fb>45.3333333333333</fb>
    <v>9</v>
  </rv>
  <rv s="1">
    <v>805306368</v>
    <v>Marko Filipović (Mayor)</v>
    <v>7df7aa7e-24d8-9920-476e-a77db2d9f513</v>
    <v>en-US</v>
    <v>Generic</v>
  </rv>
  <rv s="4">
    <v>46</v>
  </rv>
  <rv s="5">
    <v>https://www.bing.com/search?q=rijeka&amp;form=skydnc</v>
    <v>Learn more on Bing</v>
  </rv>
  <rv s="2">
    <fb>14.4333333333333</fb>
    <v>9</v>
  </rv>
  <rv s="2">
    <fb>107964</fb>
    <v>8</v>
  </rv>
  <rv s="7">
    <v>#VALUE!</v>
    <v>en-US</v>
    <v>c9478fe8-2609-b676-4498-cf66f4813e23</v>
    <v>536870912</v>
    <v>1</v>
    <v>117</v>
    <v>14</v>
    <v>Rijeka</v>
    <v>4</v>
    <v>5</v>
    <v>Map</v>
    <v>6</v>
    <v>103</v>
    <v>447</v>
    <v>447</v>
    <v>448</v>
    <v>372</v>
    <v>Rijeka, also known as Fiume, is the principal seaport and the third-largest city in Croatia. It is located in Primorje-Gorski Kotar County on Kvarner Bay, an inlet of the Adriatic Sea and in 2021 had a population of 107,964 inhabitants. ...</v>
    <v>449</v>
    <v>450</v>
    <v>452</v>
    <v>453</v>
    <v>454</v>
    <v>Rijeka</v>
    <v>455</v>
    <v>13</v>
    <v>Rijeka</v>
    <v>mdp/vdpid/7023161295423668226</v>
  </rv>
  <rv s="1">
    <v>536870912</v>
    <v>Rogatica</v>
    <v>a2bf6a49-821c-1591-4682-d650af98802c</v>
    <v>en-US</v>
    <v>Map</v>
  </rv>
  <rv s="2">
    <fb>664</fb>
    <v>8</v>
  </rv>
  <rv s="3">
    <v>43</v>
    <v>6</v>
    <v>119</v>
    <v>7</v>
    <v>0</v>
    <v>Image of Rogatica</v>
  </rv>
  <rv s="2">
    <fb>43.798888888889003</fb>
    <v>9</v>
  </rv>
  <rv s="4">
    <v>47</v>
  </rv>
  <rv s="5">
    <v>https://www.bing.com/search?q=rogatica&amp;form=skydnc</v>
    <v>Learn more on Bing</v>
  </rv>
  <rv s="2">
    <fb>19.003611111110999</fb>
    <v>9</v>
  </rv>
  <rv s="2">
    <fb>10723</fb>
    <v>8</v>
  </rv>
  <rv s="6">
    <v>#VALUE!</v>
    <v>en-US</v>
    <v>a2bf6a49-821c-1591-4682-d650af98802c</v>
    <v>536870912</v>
    <v>1</v>
    <v>120</v>
    <v>2</v>
    <v>Rogatica</v>
    <v>4</v>
    <v>5</v>
    <v>Map</v>
    <v>6</v>
    <v>15</v>
    <v>27</v>
    <v>458</v>
    <v>29</v>
    <v>Rogatica is a town and municipality in Republika Srpska, Bosnia and Herzegovina. As of 2013, the municipality has a population of 10,723 inhabitants, while the town of Rogatica itself has a population of 6,855 inhabitants.</v>
    <v>459</v>
    <v>460</v>
    <v>461</v>
    <v>462</v>
    <v>463</v>
    <v>Rogatica</v>
    <v>464</v>
    <v>13</v>
    <v>Rogatica</v>
    <v>mdp/vdpid/7217284649796501505</v>
  </rv>
  <rv s="1">
    <v>536870912</v>
    <v>Šabac</v>
    <v>334d7109-8cad-eba9-719e-22c3df9cd50d</v>
    <v>en-US</v>
    <v>Map</v>
  </rv>
  <rv s="2">
    <fb>795</fb>
    <v>8</v>
  </rv>
  <rv s="3">
    <v>44</v>
    <v>6</v>
    <v>121</v>
    <v>7</v>
    <v>0</v>
    <v>Image of Šabac</v>
  </rv>
  <rv s="2">
    <fb>44.755833333333001</fb>
    <v>9</v>
  </rv>
  <rv s="1">
    <v>805306368</v>
    <v>Aleksandar Pajić (Mayor)</v>
    <v>49c9c23a-96c0-e483-2467-7fc29ac15262</v>
    <v>en-US</v>
    <v>Generic</v>
  </rv>
  <rv s="1">
    <v>805306368</v>
    <v>Milan Mačvan (Deputy mayor)</v>
    <v>88b82780-7a43-88f4-7f52-2d97d38da5ac</v>
    <v>en-US</v>
    <v>Generic</v>
  </rv>
  <rv s="4">
    <v>48</v>
  </rv>
  <rv s="5">
    <v>https://www.bing.com/search?q=%c5%a1abac+serbia&amp;form=skydnc</v>
    <v>Learn more on Bing</v>
  </rv>
  <rv s="2">
    <fb>19.693888888888999</fb>
    <v>9</v>
  </rv>
  <rv s="2">
    <fb>54111</fb>
    <v>8</v>
  </rv>
  <rv s="6">
    <v>#VALUE!</v>
    <v>en-US</v>
    <v>334d7109-8cad-eba9-719e-22c3df9cd50d</v>
    <v>536870912</v>
    <v>1</v>
    <v>123</v>
    <v>2</v>
    <v>Šabac</v>
    <v>4</v>
    <v>5</v>
    <v>Map</v>
    <v>6</v>
    <v>124</v>
    <v>278</v>
    <v>467</v>
    <v>5</v>
    <v>Šabac is a city and the administrative centre of the Mačva District in western Serbia. The traditional centre of the fertile Mačva region, Šabac is located on the right banks of the river Sava. According to the 2011 census, the city proper has ...</v>
    <v>468</v>
    <v>469</v>
    <v>472</v>
    <v>473</v>
    <v>474</v>
    <v>Šabac</v>
    <v>475</v>
    <v>13</v>
    <v>Šabac</v>
    <v>mdp/vdpid/7217210731932942337</v>
  </rv>
  <rv s="1">
    <v>536870912</v>
    <v>Šajkaš</v>
    <v>719cab24-0a4b-ba4d-7207-9fc54528d233</v>
    <v>en-US</v>
    <v>Map</v>
  </rv>
  <rv s="2">
    <fb>38.9</fb>
    <v>8</v>
  </rv>
  <rv s="3">
    <v>45</v>
    <v>6</v>
    <v>126</v>
    <v>7</v>
    <v>0</v>
    <v>Image of Šajkaš</v>
  </rv>
  <rv s="2">
    <fb>45.272199999999998</fb>
    <v>9</v>
  </rv>
  <rv s="5">
    <v>https://www.bing.com/search?q=%c5%a1ajka%c5%a1+serbia&amp;form=skydnc</v>
    <v>Learn more on Bing</v>
  </rv>
  <rv s="2">
    <fb>20.089700000000001</fb>
    <v>9</v>
  </rv>
  <rv s="2">
    <fb>4374</fb>
    <v>8</v>
  </rv>
  <rv s="19">
    <v>#VALUE!</v>
    <v>en-US</v>
    <v>719cab24-0a4b-ba4d-7207-9fc54528d233</v>
    <v>536870912</v>
    <v>1</v>
    <v>128</v>
    <v>129</v>
    <v>Šajkaš</v>
    <v>4</v>
    <v>5</v>
    <v>Map</v>
    <v>6</v>
    <v>39</v>
    <v>60</v>
    <v>478</v>
    <v>5</v>
    <v>Šajkaš is a village located in the Titel municipality, South Bačka District, Vojvodina, Serbia. As of the 2011 census, it has a population of 4,374 inhabitants.</v>
    <v>479</v>
    <v>480</v>
    <v>481</v>
    <v>482</v>
    <v>Šajkaš</v>
    <v>483</v>
    <v>Šajkaš</v>
    <v>mdp/vdpid/7025431202081275905</v>
  </rv>
  <rv s="1">
    <v>536870912</v>
    <v>Skopje</v>
    <v>1801752c-771c-78d5-76fc-41b82750ecfe</v>
    <v>en-US</v>
    <v>Map</v>
  </rv>
  <rv s="2">
    <fb>571.46</fb>
    <v>8</v>
  </rv>
  <rv s="1">
    <v>536870912</v>
    <v>North Macedonia</v>
    <v>d33b7a6b-3c3e-ee43-7793-52058921000a</v>
    <v>en-US</v>
    <v>Map</v>
  </rv>
  <rv s="3">
    <v>46</v>
    <v>6</v>
    <v>130</v>
    <v>7</v>
    <v>0</v>
    <v>Image of Skopje</v>
  </rv>
  <rv s="1">
    <v>805306368</v>
    <v>Danela Arsovska (Mayor)</v>
    <v>8e2fd9b6-7df9-19e7-8d1d-b3811e4cbc09</v>
    <v>en-US</v>
    <v>Generic</v>
  </rv>
  <rv s="4">
    <v>49</v>
  </rv>
  <rv s="5">
    <v>https://www.bing.com/search?q=skopje&amp;form=skydnc</v>
    <v>Learn more on Bing</v>
  </rv>
  <rv s="2">
    <fb>422540</fb>
    <v>8</v>
  </rv>
  <rv s="20">
    <v>#VALUE!</v>
    <v>en-US</v>
    <v>1801752c-771c-78d5-76fc-41b82750ecfe</v>
    <v>536870912</v>
    <v>1</v>
    <v>132</v>
    <v>133</v>
    <v>Skopje</v>
    <v>4</v>
    <v>5</v>
    <v>Map</v>
    <v>6</v>
    <v>103</v>
    <v>MK-85</v>
    <v>486</v>
    <v>487</v>
    <v>Skopje is the capital and largest city of North Macedonia. It is the country's political, cultural, economic, and academic centre. Skopje lies in the Skopje Basin. Scupi is attested for the first time in the second century AD as a city in Roman ...</v>
    <v>488</v>
    <v>490</v>
    <v>491</v>
    <v>Skopje</v>
    <v>492</v>
    <v>37</v>
    <v>Skopje</v>
    <v>mdp/vdpid/7218862242538717185</v>
  </rv>
  <rv s="1">
    <v>536870912</v>
    <v>Smederevo</v>
    <v>46ef3408-4631-0493-58cc-8522285e8c40</v>
    <v>en-US</v>
    <v>Map</v>
  </rv>
  <rv s="1">
    <v>536870912</v>
    <v>Podunavlje District</v>
    <v>1bc538cc-ed8c-0a64-aaef-80eebb06eed4</v>
    <v>en-US</v>
    <v>Map</v>
  </rv>
  <rv s="2">
    <fb>484</fb>
    <v>8</v>
  </rv>
  <rv s="3">
    <v>47</v>
    <v>6</v>
    <v>134</v>
    <v>7</v>
    <v>0</v>
    <v>Image of Smederevo</v>
  </rv>
  <rv s="2">
    <fb>44.663333333333</fb>
    <v>9</v>
  </rv>
  <rv s="1">
    <v>805306368</v>
    <v>Jovan Beč (Mayor)</v>
    <v>a7bc7115-4526-86e7-0cba-6f0ac2641290</v>
    <v>en-US</v>
    <v>Generic</v>
  </rv>
  <rv s="4">
    <v>50</v>
  </rv>
  <rv s="5">
    <v>https://www.bing.com/search?q=smederevo&amp;form=skydnc</v>
    <v>Learn more on Bing</v>
  </rv>
  <rv s="2">
    <fb>20.928888888888999</fb>
    <v>9</v>
  </rv>
  <rv s="2">
    <fb>63135</fb>
    <v>8</v>
  </rv>
  <rv s="8">
    <v>#VALUE!</v>
    <v>en-US</v>
    <v>46ef3408-4631-0493-58cc-8522285e8c40</v>
    <v>536870912</v>
    <v>1</v>
    <v>136</v>
    <v>18</v>
    <v>Smederevo</v>
    <v>4</v>
    <v>5</v>
    <v>Map</v>
    <v>6</v>
    <v>124</v>
    <v>495</v>
    <v>496</v>
    <v>5</v>
    <v>Smederevo is a city and the administrative center of the Podunavlje District in eastern Serbia. It is situated on the right bank of the Danube, about 45 kilometres downstream of the Serbian capital, Belgrade.</v>
    <v>497</v>
    <v>498</v>
    <v>500</v>
    <v>501</v>
    <v>502</v>
    <v>Smederevo</v>
    <v>503</v>
    <v>Smederevo</v>
    <v>mdp/vdpid/7217633371529150465</v>
  </rv>
  <rv s="1">
    <v>536870912</v>
    <v>Sokolac</v>
    <v>66c1c50c-48f1-3f13-6815-1f240be5a749</v>
    <v>en-US</v>
    <v>Map</v>
  </rv>
  <rv s="2">
    <fb>729</fb>
    <v>8</v>
  </rv>
  <rv s="3">
    <v>48</v>
    <v>6</v>
    <v>137</v>
    <v>7</v>
    <v>0</v>
    <v>Image of Sokolac</v>
  </rv>
  <rv s="2">
    <fb>43.937222222221997</fb>
    <v>9</v>
  </rv>
  <rv s="4">
    <v>51</v>
  </rv>
  <rv s="5">
    <v>https://www.bing.com/search?q=sokolac&amp;form=skydnc</v>
    <v>Learn more on Bing</v>
  </rv>
  <rv s="2">
    <fb>18.798333333333002</fb>
    <v>9</v>
  </rv>
  <rv s="2">
    <fb>12021</fb>
    <v>8</v>
  </rv>
  <rv s="8">
    <v>#VALUE!</v>
    <v>en-US</v>
    <v>66c1c50c-48f1-3f13-6815-1f240be5a749</v>
    <v>536870912</v>
    <v>1</v>
    <v>139</v>
    <v>18</v>
    <v>Sokolac</v>
    <v>4</v>
    <v>5</v>
    <v>Map</v>
    <v>6</v>
    <v>15</v>
    <v>27</v>
    <v>506</v>
    <v>29</v>
    <v>Sokolac is a municipality of the city of Istočno Sarajevo of Bosnia and Herzegovina, located in Republika Srpska entity. As of 2013, it has a population of 12,021 inhabitants, while the town of Sokolac has a population of 5,919 inhabitants.</v>
    <v>507</v>
    <v>508</v>
    <v>509</v>
    <v>510</v>
    <v>511</v>
    <v>Sokolac</v>
    <v>512</v>
    <v>Sokolac</v>
    <v>mdp/vdpid/7217270532574543873</v>
  </rv>
  <rv s="1">
    <v>536870912</v>
    <v>Sombor</v>
    <v>75f0d20d-a112-5f0f-220e-d169f3cd986f</v>
    <v>en-US</v>
    <v>Map</v>
  </rv>
  <rv s="2">
    <fb>289.23</fb>
    <v>8</v>
  </rv>
  <rv s="3">
    <v>49</v>
    <v>6</v>
    <v>140</v>
    <v>7</v>
    <v>0</v>
    <v>Image of Sombor</v>
  </rv>
  <rv s="2">
    <fb>45.78</fb>
    <v>9</v>
  </rv>
  <rv s="1">
    <v>805306368</v>
    <v>Antonio Ratković (Mayor)</v>
    <v>2757cb4c-8a09-c1c2-49c6-a42557e9a91f</v>
    <v>en-US</v>
    <v>Generic</v>
  </rv>
  <rv s="4">
    <v>52</v>
  </rv>
  <rv s="5">
    <v>https://www.bing.com/search?q=sombor&amp;form=skydnc</v>
    <v>Learn more on Bing</v>
  </rv>
  <rv s="2">
    <fb>19.12</fb>
    <v>9</v>
  </rv>
  <rv s="2">
    <fb>51471</fb>
    <v>8</v>
  </rv>
  <rv s="8">
    <v>#VALUE!</v>
    <v>en-US</v>
    <v>75f0d20d-a112-5f0f-220e-d169f3cd986f</v>
    <v>536870912</v>
    <v>1</v>
    <v>141</v>
    <v>18</v>
    <v>Sombor</v>
    <v>4</v>
    <v>5</v>
    <v>Map</v>
    <v>6</v>
    <v>142</v>
    <v>238</v>
    <v>515</v>
    <v>5</v>
    <v>Sombor is a city and the administrative center of the West Bačka District in the autonomous province of Vojvodina, Serbia. The city has a total population of 41,814, while its administrative area has 70,818 inhabitants.</v>
    <v>516</v>
    <v>517</v>
    <v>519</v>
    <v>520</v>
    <v>521</v>
    <v>Sombor</v>
    <v>522</v>
    <v>Sombor</v>
    <v>mdp/vdpid/7024969858823487489</v>
  </rv>
  <rv s="1">
    <v>536870912</v>
    <v>Split, Croatia</v>
    <v>ea5899d9-47bd-2936-2d62-98c0a38ca0c3</v>
    <v>en-US</v>
    <v>Map</v>
  </rv>
  <rv s="1">
    <v>536870912</v>
    <v>Split-Dalmatia County</v>
    <v>a5c9fc4a-ec53-dc2d-a2db-50aa40fdd54c</v>
    <v>en-US</v>
    <v>Map</v>
  </rv>
  <rv s="2">
    <fb>79.400000000000006</fb>
    <v>8</v>
  </rv>
  <rv s="1">
    <v>536870912</v>
    <v>Austria-Hungary</v>
    <v>09b8630d-3ac1-93e8-a27e-b8a55de26a17</v>
    <v>en-US</v>
    <v>Map</v>
  </rv>
  <rv s="3">
    <v>50</v>
    <v>6</v>
    <v>143</v>
    <v>7</v>
    <v>0</v>
    <v>Image of Split, Croatia</v>
  </rv>
  <rv s="2">
    <fb>43.51</fb>
    <v>9</v>
  </rv>
  <rv s="1">
    <v>805306368</v>
    <v>Ivica Puljak (Mayor)</v>
    <v>b8b1cab5-9580-3260-c415-b1eb1df57abc</v>
    <v>en-US</v>
    <v>Generic</v>
  </rv>
  <rv s="4">
    <v>53</v>
  </rv>
  <rv s="5">
    <v>https://www.bing.com/search?q=split+croatia&amp;form=skydnc</v>
    <v>Learn more on Bing</v>
  </rv>
  <rv s="2">
    <fb>16.440000000000001</fb>
    <v>9</v>
  </rv>
  <rv s="2">
    <fb>160577</fb>
    <v>8</v>
  </rv>
  <rv s="4">
    <v>54</v>
  </rv>
  <rv s="6">
    <v>#VALUE!</v>
    <v>en-US</v>
    <v>ea5899d9-47bd-2936-2d62-98c0a38ca0c3</v>
    <v>536870912</v>
    <v>1</v>
    <v>144</v>
    <v>2</v>
    <v>Split, Croatia</v>
    <v>4</v>
    <v>5</v>
    <v>Map</v>
    <v>6</v>
    <v>103</v>
    <v>525</v>
    <v>526</v>
    <v>527</v>
    <v>Split, historically known as Spalato, is the second-largest city of Croatia, after the capital Zagreb, the largest city in Dalmatia and the largest city on the Croatian coast. The Split metropolitan area is home to about 330 000 people. It lies ...</v>
    <v>528</v>
    <v>529</v>
    <v>531</v>
    <v>532</v>
    <v>533</v>
    <v>Split, Croatia</v>
    <v>534</v>
    <v>535</v>
    <v>Split, Croatia</v>
    <v>mdp/vdpid/7215790001294934018</v>
  </rv>
  <rv s="1">
    <v>536870912</v>
    <v>Sremska Kamenica</v>
    <v>e15cba51-83de-811e-b14a-16e0f2149eb4</v>
    <v>en-US</v>
    <v>Map</v>
  </rv>
  <rv s="1">
    <v>536870912</v>
    <v>Petrovaradin</v>
    <v>82fa5da3-3747-2820-d878-615f89e4e7c5</v>
    <v>en-US</v>
    <v>Map</v>
  </rv>
  <rv s="2">
    <fb>30.49</fb>
    <v>8</v>
  </rv>
  <rv s="3">
    <v>51</v>
    <v>6</v>
    <v>146</v>
    <v>7</v>
    <v>0</v>
    <v>Image of Sremska Kamenica</v>
  </rv>
  <rv s="2">
    <fb>45.222999999999999</fb>
    <v>9</v>
  </rv>
  <rv s="5">
    <v>https://www.bing.com/search?q=sremska+kamenica+serbia&amp;form=skydnc</v>
    <v>Learn more on Bing</v>
  </rv>
  <rv s="2">
    <fb>19.8431</fb>
    <v>9</v>
  </rv>
  <rv s="2">
    <fb>14205</fb>
    <v>8</v>
  </rv>
  <rv s="21">
    <v>#VALUE!</v>
    <v>en-US</v>
    <v>e15cba51-83de-811e-b14a-16e0f2149eb4</v>
    <v>536870912</v>
    <v>1</v>
    <v>147</v>
    <v>148</v>
    <v>Sremska Kamenica</v>
    <v>4</v>
    <v>5</v>
    <v>Map</v>
    <v>6</v>
    <v>7</v>
    <v>538</v>
    <v>539</v>
    <v>5</v>
    <v>Sremska Kamenica is a town and urban neighborhood of Novi Sad, in Serbia. In Serbian, the town is known as Sremska Kamenica, in Croatian as Srijemska Kamenica, in Hungarian as Kamánc, and in German as Kamenitz.</v>
    <v>540</v>
    <v>541</v>
    <v>542</v>
    <v>543</v>
    <v>Sremska Kamenica</v>
    <v>544</v>
    <v>13</v>
    <v>Sremska Kamenica</v>
    <v>mdp/vdpid/7025423816381693953</v>
  </rv>
  <rv s="1">
    <v>536870912</v>
    <v>Sremska Mitrovica</v>
    <v>b8801141-0283-1427-6bc0-f58da23dfff8</v>
    <v>en-US</v>
    <v>Map</v>
  </rv>
  <rv s="2">
    <fb>351</fb>
    <v>8</v>
  </rv>
  <rv s="3">
    <v>52</v>
    <v>6</v>
    <v>149</v>
    <v>7</v>
    <v>0</v>
    <v>Image of Sremska Mitrovica</v>
  </rv>
  <rv s="2">
    <fb>44.97</fb>
    <v>9</v>
  </rv>
  <rv s="1">
    <v>805306368</v>
    <v>Svetlana Milovanović (Mayor)</v>
    <v>8bcf63f4-6610-d9e1-abca-2c5afd24a6bf</v>
    <v>en-US</v>
    <v>Generic</v>
  </rv>
  <rv s="4">
    <v>55</v>
  </rv>
  <rv s="5">
    <v>https://www.bing.com/search?q=sremska+mitrovica&amp;form=skydnc</v>
    <v>Learn more on Bing</v>
  </rv>
  <rv s="2">
    <fb>19.612500000000001</fb>
    <v>9</v>
  </rv>
  <rv s="10">
    <v>#VALUE!</v>
    <v>en-US</v>
    <v>b8801141-0283-1427-6bc0-f58da23dfff8</v>
    <v>536870912</v>
    <v>1</v>
    <v>150</v>
    <v>26</v>
    <v>Sremska Mitrovica</v>
    <v>4</v>
    <v>5</v>
    <v>Map</v>
    <v>6</v>
    <v>23</v>
    <v>175</v>
    <v>547</v>
    <v>5</v>
    <v>Sremska Mitrovica is a city and the administrative center of the Srem District in the autonomous province of Vojvodina, Serbia. It is situated on the left bank of the Sava river. As of 2022, the city has a total population of 40,144 inhabitants, ...</v>
    <v>548</v>
    <v>549</v>
    <v>551</v>
    <v>552</v>
    <v>553</v>
    <v>Sremska Mitrovica</v>
    <v>Sremska Mitrovica</v>
    <v>mdp/vdpid/7217205925948424193</v>
  </rv>
  <rv s="1">
    <v>536870912</v>
    <v>Stara Pazova</v>
    <v>db2a7fe4-9e34-54eb-ab30-dcf2a460a7db</v>
    <v>en-US</v>
    <v>Map</v>
  </rv>
  <rv s="3">
    <v>53</v>
    <v>6</v>
    <v>151</v>
    <v>7</v>
    <v>0</v>
    <v>Image of Stara Pazova</v>
  </rv>
  <rv s="2">
    <fb>44.983333333333</fb>
    <v>9</v>
  </rv>
  <rv s="1">
    <v>805306368</v>
    <v>Đorđe Radinović (Mayor)</v>
    <v>f185c493-8cb4-05a9-9f54-94b90d9a5098</v>
    <v>en-US</v>
    <v>Generic</v>
  </rv>
  <rv s="4">
    <v>56</v>
  </rv>
  <rv s="5">
    <v>https://www.bing.com/search?q=stara+pazova+serbia&amp;form=skydnc</v>
    <v>Learn more on Bing</v>
  </rv>
  <rv s="10">
    <v>#VALUE!</v>
    <v>en-US</v>
    <v>db2a7fe4-9e34-54eb-ab30-dcf2a460a7db</v>
    <v>536870912</v>
    <v>1</v>
    <v>152</v>
    <v>26</v>
    <v>Stara Pazova</v>
    <v>4</v>
    <v>5</v>
    <v>Map</v>
    <v>6</v>
    <v>23</v>
    <v>175</v>
    <v>547</v>
    <v>5</v>
    <v>Stara Pazova is a town and municipality located in the Srem District of the autonomous province of Vojvodina, Serbia. The town has a population of 18,042, while Stara Pazova municipality has 65,792 inhabitants. The entrance into town from Inđija ...</v>
    <v>556</v>
    <v>557</v>
    <v>559</v>
    <v>560</v>
    <v>256</v>
    <v>Stara Pazova</v>
    <v>Stara Pazova</v>
    <v>mdp/vdpid/7025439001288900609</v>
  </rv>
  <rv s="1">
    <v>536870912</v>
    <v>Subotica</v>
    <v>ee5d4ee2-5500-86a4-5899-872b8f42caf3</v>
    <v>en-US</v>
    <v>Map</v>
  </rv>
  <rv s="1">
    <v>536870912</v>
    <v>North Bačka District</v>
    <v>4264da16-3531-4cc1-99c5-0559ace6880f</v>
    <v>en-US</v>
    <v>Map</v>
  </rv>
  <rv s="2">
    <fb>290</fb>
    <v>8</v>
  </rv>
  <rv s="3">
    <v>54</v>
    <v>6</v>
    <v>153</v>
    <v>7</v>
    <v>0</v>
    <v>Image of Subotica</v>
  </rv>
  <rv s="2">
    <fb>46.098333333333002</fb>
    <v>9</v>
  </rv>
  <rv s="1">
    <v>805306368</v>
    <v>Stevan Bakić (Mayor)</v>
    <v>5ca1ccc4-eac3-c441-654a-c4e07e4a0479</v>
    <v>en-US</v>
    <v>Generic</v>
  </rv>
  <rv s="4">
    <v>57</v>
  </rv>
  <rv s="5">
    <v>https://www.bing.com/search?q=szabadka&amp;form=skydnc</v>
    <v>Learn more on Bing</v>
  </rv>
  <rv s="2">
    <fb>19.670000000000002</fb>
    <v>9</v>
  </rv>
  <rv s="2">
    <fb>105681</fb>
    <v>8</v>
  </rv>
  <rv s="8">
    <v>#VALUE!</v>
    <v>en-US</v>
    <v>ee5d4ee2-5500-86a4-5899-872b8f42caf3</v>
    <v>536870912</v>
    <v>1</v>
    <v>154</v>
    <v>18</v>
    <v>Subotica</v>
    <v>4</v>
    <v>5</v>
    <v>Map</v>
    <v>6</v>
    <v>39</v>
    <v>563</v>
    <v>564</v>
    <v>5</v>
    <v>Subotica is a city and the administrative center of the North Bačka District in the autonomous province of Vojvodina, Serbia. Formerly the largest city of Vojvodina region, contemporary Subotica is now the second largest city in the province, ...</v>
    <v>565</v>
    <v>566</v>
    <v>568</v>
    <v>569</v>
    <v>570</v>
    <v>Subotica</v>
    <v>571</v>
    <v>Subotica</v>
    <v>mdp/vdpid/7024963400786509825</v>
  </rv>
  <rv s="1">
    <v>536870912</v>
    <v>Topola</v>
    <v>56f3f74d-85d9-3b21-ffb9-f1199c12ea8c</v>
    <v>en-US</v>
    <v>Map</v>
  </rv>
  <rv s="2">
    <fb>356</fb>
    <v>8</v>
  </rv>
  <rv s="3">
    <v>55</v>
    <v>6</v>
    <v>155</v>
    <v>7</v>
    <v>0</v>
    <v>Image of Topola</v>
  </rv>
  <rv s="2">
    <fb>44.252499999999998</fb>
    <v>9</v>
  </rv>
  <rv s="1">
    <v>805306368</v>
    <v>Vladimir Radojković (Mayor)</v>
    <v>1347b252-2d19-436a-7326-e7e70b3925f2</v>
    <v>en-US</v>
    <v>Generic</v>
  </rv>
  <rv s="4">
    <v>58</v>
  </rv>
  <rv s="5">
    <v>https://www.bing.com/search?q=topola+serbia&amp;form=skydnc</v>
    <v>Learn more on Bing</v>
  </rv>
  <rv s="2">
    <fb>20.676111111110998</fb>
    <v>9</v>
  </rv>
  <rv s="17">
    <v>#VALUE!</v>
    <v>en-US</v>
    <v>56f3f74d-85d9-3b21-ffb9-f1199c12ea8c</v>
    <v>536870912</v>
    <v>1</v>
    <v>156</v>
    <v>80</v>
    <v>Topola</v>
    <v>4</v>
    <v>5</v>
    <v>Map</v>
    <v>6</v>
    <v>23</v>
    <v>16</v>
    <v>574</v>
    <v>5</v>
    <v>Topola is a town and municipality located in the Šumadija District of central Serbia. It was the place where Karađorđe, a Serbian revolutionary, was chosen as the leader of the First Serbian Uprising against the Ottoman Empire in 1804. The local ...</v>
    <v>575</v>
    <v>576</v>
    <v>578</v>
    <v>579</v>
    <v>580</v>
    <v>Topola</v>
    <v>128</v>
    <v>Topola</v>
    <v>mdp/vdpid/7217697448800550913</v>
  </rv>
  <rv s="1">
    <v>536870912</v>
    <v>Valjevo</v>
    <v>57d71051-4e0f-af50-9716-287ba3d13930</v>
    <v>en-US</v>
    <v>Map</v>
  </rv>
  <rv s="2">
    <fb>905</fb>
    <v>8</v>
  </rv>
  <rv s="3">
    <v>56</v>
    <v>6</v>
    <v>157</v>
    <v>7</v>
    <v>0</v>
    <v>Image of Valjevo</v>
  </rv>
  <rv s="2">
    <fb>44.266666666667</fb>
    <v>9</v>
  </rv>
  <rv s="1">
    <v>805306368</v>
    <v>Lazar Gojković (Mayor)</v>
    <v>1eae5d48-f85c-398f-1ea5-b6fe77763c35</v>
    <v>en-US</v>
    <v>Generic</v>
  </rv>
  <rv s="4">
    <v>59</v>
  </rv>
  <rv s="5">
    <v>https://www.bing.com/search?q=valjevo&amp;form=skydnc</v>
    <v>Learn more on Bing</v>
  </rv>
  <rv s="2">
    <fb>19.883333333332999</fb>
    <v>9</v>
  </rv>
  <rv s="2">
    <fb>90312</fb>
    <v>8</v>
  </rv>
  <rv s="8">
    <v>#VALUE!</v>
    <v>en-US</v>
    <v>57d71051-4e0f-af50-9716-287ba3d13930</v>
    <v>536870912</v>
    <v>1</v>
    <v>158</v>
    <v>18</v>
    <v>Valjevo</v>
    <v>4</v>
    <v>5</v>
    <v>Map</v>
    <v>6</v>
    <v>39</v>
    <v>249</v>
    <v>583</v>
    <v>5</v>
    <v>Valjevo is a city and the administrative center of the Kolubara District in western Serbia. According to the 2022 census, the administrative area of Valjevo had 82,169 inhabitants, 56,145 of whom were urban dwellers.</v>
    <v>584</v>
    <v>585</v>
    <v>587</v>
    <v>588</v>
    <v>589</v>
    <v>Valjevo</v>
    <v>590</v>
    <v>Valjevo</v>
    <v>mdp/vdpid/7217654250237591553</v>
  </rv>
  <rv s="1">
    <v>536870912</v>
    <v>Varaždin</v>
    <v>4a05b614-d9e5-8b99-416d-ed23535f955f</v>
    <v>en-US</v>
    <v>Map</v>
  </rv>
  <rv s="1">
    <v>536870912</v>
    <v>Varaždin County</v>
    <v>e8b53325-1309-05f5-baf1-5d4648cd44d3</v>
    <v>en-US</v>
    <v>Map</v>
  </rv>
  <rv s="2">
    <fb>59.9</fb>
    <v>8</v>
  </rv>
  <rv s="3">
    <v>57</v>
    <v>6</v>
    <v>159</v>
    <v>7</v>
    <v>0</v>
    <v>Image of Varaždin</v>
  </rv>
  <rv s="2">
    <fb>46.308055555555597</fb>
    <v>9</v>
  </rv>
  <rv s="1">
    <v>805306368</v>
    <v>Neven Bosilj (Mayor)</v>
    <v>9fa67c68-afb4-7ad4-1feb-db3dd22f05a4</v>
    <v>en-US</v>
    <v>Generic</v>
  </rv>
  <rv s="4">
    <v>60</v>
  </rv>
  <rv s="5">
    <v>https://www.bing.com/search?q=vara%c5%bedin+croatia&amp;form=skydnc</v>
    <v>Learn more on Bing</v>
  </rv>
  <rv s="2">
    <fb>16.337777777777799</fb>
    <v>9</v>
  </rv>
  <rv s="2">
    <fb>43782</fb>
    <v>8</v>
  </rv>
  <rv s="6">
    <v>#VALUE!</v>
    <v>en-US</v>
    <v>4a05b614-d9e5-8b99-416d-ed23535f955f</v>
    <v>536870912</v>
    <v>1</v>
    <v>160</v>
    <v>2</v>
    <v>Varaždin</v>
    <v>4</v>
    <v>5</v>
    <v>Map</v>
    <v>6</v>
    <v>103</v>
    <v>593</v>
    <v>594</v>
    <v>372</v>
    <v>Varaždin is a city in Northern Croatia, 81 km north of Zagreb. The total population is 46,946, with 38,839 in the city settlement itself. The city is best known for its baroque buildings, music, textile, food and IT industry.</v>
    <v>595</v>
    <v>596</v>
    <v>598</v>
    <v>599</v>
    <v>600</v>
    <v>Varaždin</v>
    <v>601</v>
    <v>535</v>
    <v>Varaždin</v>
    <v>mdp/vdpid/7023259158652649473</v>
  </rv>
  <rv s="1">
    <v>536870912</v>
    <v>Velika Plana</v>
    <v>bc1bc2e2-5c84-6a67-20f6-c7850c477784</v>
    <v>en-US</v>
    <v>Map</v>
  </rv>
  <rv s="2">
    <fb>345</fb>
    <v>8</v>
  </rv>
  <rv s="3">
    <v>58</v>
    <v>6</v>
    <v>161</v>
    <v>7</v>
    <v>0</v>
    <v>Image of Velika Plana</v>
  </rv>
  <rv s="2">
    <fb>44.333333333333002</fb>
    <v>9</v>
  </rv>
  <rv s="1">
    <v>805306368</v>
    <v>Igor Matković (Mayor)</v>
    <v>26bf2fcb-0172-9245-dc42-f32358e97056</v>
    <v>en-US</v>
    <v>Generic</v>
  </rv>
  <rv s="4">
    <v>61</v>
  </rv>
  <rv s="5">
    <v>https://www.bing.com/search?q=velika+plana+serbia&amp;form=skydnc</v>
    <v>Learn more on Bing</v>
  </rv>
  <rv s="2">
    <fb>21.083333333333002</fb>
    <v>9</v>
  </rv>
  <rv s="10">
    <v>#VALUE!</v>
    <v>en-US</v>
    <v>bc1bc2e2-5c84-6a67-20f6-c7850c477784</v>
    <v>536870912</v>
    <v>1</v>
    <v>162</v>
    <v>26</v>
    <v>Velika Plana</v>
    <v>4</v>
    <v>5</v>
    <v>Map</v>
    <v>6</v>
    <v>23</v>
    <v>495</v>
    <v>604</v>
    <v>5</v>
    <v>Velika Plana is a town and municipality located in the Podunavlje District of Serbia. As of 2011, the town has 16,088 inhabitants, while the municipality has 40,902. Velika Plana lies on the left bank of Velika Morava.</v>
    <v>605</v>
    <v>606</v>
    <v>608</v>
    <v>609</v>
    <v>610</v>
    <v>Velika Plana</v>
    <v>Velika Plana</v>
    <v>mdp/vdpid/7217651440506896385</v>
  </rv>
  <rv s="1">
    <v>536870912</v>
    <v>Vinkovci</v>
    <v>507e4bd9-479d-2112-6eda-1db6a821a8bf</v>
    <v>en-US</v>
    <v>Map</v>
  </rv>
  <rv s="1">
    <v>536870912</v>
    <v>Vukovar-Srijem County</v>
    <v>d2ffeec2-0360-aaa1-c264-281c332c65d7</v>
    <v>en-US</v>
    <v>Map</v>
  </rv>
  <rv s="2">
    <fb>94.2</fb>
    <v>8</v>
  </rv>
  <rv s="3">
    <v>59</v>
    <v>6</v>
    <v>163</v>
    <v>7</v>
    <v>0</v>
    <v>Image of Vinkovci</v>
  </rv>
  <rv s="2">
    <fb>45.283333333332997</fb>
    <v>9</v>
  </rv>
  <rv s="1">
    <v>805306368</v>
    <v>Ivan Bosančić (Mayor)</v>
    <v>023b7a1e-8fb4-4e46-1e34-0092d2e980b2</v>
    <v>en-US</v>
    <v>Generic</v>
  </rv>
  <rv s="4">
    <v>62</v>
  </rv>
  <rv s="5">
    <v>https://www.bing.com/search?q=vinkovci+croatia&amp;form=skydnc</v>
    <v>Learn more on Bing</v>
  </rv>
  <rv s="2">
    <fb>18.8</fb>
    <v>9</v>
  </rv>
  <rv s="2">
    <fb>30842</fb>
    <v>8</v>
  </rv>
  <rv s="8">
    <v>#VALUE!</v>
    <v>en-US</v>
    <v>507e4bd9-479d-2112-6eda-1db6a821a8bf</v>
    <v>536870912</v>
    <v>1</v>
    <v>164</v>
    <v>18</v>
    <v>Vinkovci</v>
    <v>4</v>
    <v>5</v>
    <v>Map</v>
    <v>6</v>
    <v>103</v>
    <v>613</v>
    <v>614</v>
    <v>372</v>
    <v>Vinkovci is a city in Slavonia, in the Vukovar-Syrmia County in eastern Croatia. The city settlement's population was 28,111 in the 2021 census, while the total population was 30,842, making it the largest town of the county. Surrounded by many ...</v>
    <v>615</v>
    <v>616</v>
    <v>618</v>
    <v>619</v>
    <v>620</v>
    <v>Vinkovci</v>
    <v>621</v>
    <v>Vinkovci</v>
    <v>mdp/vdpid/7025009310530797569</v>
  </rv>
  <rv s="1">
    <v>536870912</v>
    <v>Vrbas, Serbia</v>
    <v>63a319a7-ab56-9bd6-bee1-5bea99011bd7</v>
    <v>en-US</v>
    <v>Map</v>
  </rv>
  <rv s="3">
    <v>60</v>
    <v>6</v>
    <v>165</v>
    <v>7</v>
    <v>0</v>
    <v>Image of Vrbas, Serbia</v>
  </rv>
  <rv s="2">
    <fb>45.569722222221998</fb>
    <v>9</v>
  </rv>
  <rv s="1">
    <v>805306368</v>
    <v>Predrag Rojević (Mayor)</v>
    <v>7a138cc6-c472-1164-209a-f730f6e909b0</v>
    <v>en-US</v>
    <v>Generic</v>
  </rv>
  <rv s="4">
    <v>63</v>
  </rv>
  <rv s="5">
    <v>https://www.bing.com/search?q=vrbas%2c+serbia&amp;form=skydnc</v>
    <v>Learn more on Bing</v>
  </rv>
  <rv s="2">
    <fb>19.637777777777998</fb>
    <v>9</v>
  </rv>
  <rv s="2">
    <fb>24112</fb>
    <v>8</v>
  </rv>
  <rv s="8">
    <v>#VALUE!</v>
    <v>en-US</v>
    <v>63a319a7-ab56-9bd6-bee1-5bea99011bd7</v>
    <v>536870912</v>
    <v>1</v>
    <v>166</v>
    <v>18</v>
    <v>Vrbas, Serbia</v>
    <v>4</v>
    <v>5</v>
    <v>Map</v>
    <v>6</v>
    <v>39</v>
    <v>60</v>
    <v>17</v>
    <v>5</v>
    <v>Vrbas is a town and municipality located in the South Bačka District of the autonomous province of Vojvodina, Serbia. As of 2022, the town has a population of 20,892, while the municipality has 36,601 inhabitants.</v>
    <v>624</v>
    <v>625</v>
    <v>627</v>
    <v>628</v>
    <v>629</v>
    <v>Vrbas, Serbia</v>
    <v>630</v>
    <v>Vrbas, Serbia</v>
    <v>mdp/vdpid/7025409361132388353</v>
  </rv>
  <rv s="1">
    <v>536870912</v>
    <v>Zagreb</v>
    <v>f11a69f0-4ff4-d971-a3ab-ae1c1274eccc</v>
    <v>en-US</v>
    <v>Map</v>
  </rv>
  <rv s="2">
    <fb>641.20000000000005</fb>
    <v>8</v>
  </rv>
  <rv s="3">
    <v>61</v>
    <v>6</v>
    <v>167</v>
    <v>7</v>
    <v>0</v>
    <v>Image of Zagreb</v>
  </rv>
  <rv s="1">
    <v>805306368</v>
    <v>Tomislav Tomašević (Mayor)</v>
    <v>529c4261-ab5c-1238-21bd-7706a6a1841d</v>
    <v>en-US</v>
    <v>Generic</v>
  </rv>
  <rv s="4">
    <v>64</v>
  </rv>
  <rv s="5">
    <v>https://www.bing.com/search?q=zagreb&amp;form=skydnc</v>
    <v>Learn more on Bing</v>
  </rv>
  <rv s="2">
    <fb>767131</fb>
    <v>8</v>
  </rv>
  <rv s="22">
    <v>#VALUE!</v>
    <v>en-US</v>
    <v>f11a69f0-4ff4-d971-a3ab-ae1c1274eccc</v>
    <v>536870912</v>
    <v>1</v>
    <v>169</v>
    <v>170</v>
    <v>Zagreb</v>
    <v>4</v>
    <v>5</v>
    <v>Map</v>
    <v>6</v>
    <v>103</v>
    <v>HR-21</v>
    <v>633</v>
    <v>372</v>
    <v>Zagreb is the capital and largest city of Croatia. It is in the north of the country, along the Sava river, at the southern slopes of the Medvednica mountain. Zagreb stands near the international border between Croatia and Slovenia at an ...</v>
    <v>634</v>
    <v>636</v>
    <v>637</v>
    <v>Zagreb</v>
    <v>638</v>
    <v>Zagreb</v>
    <v>mdp/vdpid/7023253006816641026</v>
  </rv>
  <rv s="1">
    <v>536870912</v>
    <v>Zemun</v>
    <v>2f2c2d8b-7d6c-2fed-ea49-449c5a857ee8</v>
    <v>en-US</v>
    <v>Map</v>
  </rv>
  <rv s="2">
    <fb>153.56</fb>
    <v>8</v>
  </rv>
  <rv s="3">
    <v>62</v>
    <v>6</v>
    <v>171</v>
    <v>7</v>
    <v>0</v>
    <v>Image of Zemun</v>
  </rv>
  <rv s="2">
    <fb>44.85</fb>
    <v>9</v>
  </rv>
  <rv s="1">
    <v>805306368</v>
    <v>Gavrilo Kovačević (Mayor)</v>
    <v>251fa20e-fb44-7c9d-88a7-1fb9464266c4</v>
    <v>en-US</v>
    <v>Generic</v>
  </rv>
  <rv s="4">
    <v>65</v>
  </rv>
  <rv s="5">
    <v>https://www.bing.com/search?q=zemun&amp;form=skydnc</v>
    <v>Learn more on Bing</v>
  </rv>
  <rv s="2">
    <fb>20.399999999999999</fb>
    <v>9</v>
  </rv>
  <rv s="2">
    <fb>177908</fb>
    <v>8</v>
  </rv>
  <rv s="16">
    <v>#VALUE!</v>
    <v>en-US</v>
    <v>2f2c2d8b-7d6c-2fed-ea49-449c5a857ee8</v>
    <v>536870912</v>
    <v>1</v>
    <v>172</v>
    <v>77</v>
    <v>Zemun</v>
    <v>4</v>
    <v>5</v>
    <v>Map</v>
    <v>6</v>
    <v>7</v>
    <v>641</v>
    <v>5</v>
    <v>Zemun is a municipality in the city of Belgrade, Serbia. Zemun was a separate town that was absorbed into Belgrade in 1934. It lies on the right bank of the Danube river, upstream from downtown Belgrade. The development of New Belgrade in the ...</v>
    <v>642</v>
    <v>643</v>
    <v>645</v>
    <v>646</v>
    <v>647</v>
    <v>Zemun</v>
    <v>648</v>
    <v>128</v>
    <v>Zemun</v>
    <v>mdp/vdpid/7217618042019119106</v>
  </rv>
  <rv s="1">
    <v>536870912</v>
    <v>Zrenjanin</v>
    <v>ac4e0e07-1557-d6c8-e598-3e3c6d2eb520</v>
    <v>en-US</v>
    <v>Map</v>
  </rv>
  <rv s="2">
    <fb>190.9</fb>
    <v>8</v>
  </rv>
  <rv s="3">
    <v>63</v>
    <v>6</v>
    <v>173</v>
    <v>7</v>
    <v>0</v>
    <v>Image of Zrenjanin</v>
  </rv>
  <rv s="2">
    <fb>45.377777777778</fb>
    <v>9</v>
  </rv>
  <rv s="1">
    <v>805306368</v>
    <v>Simo Salapura (Mayor)</v>
    <v>a2817952-3abd-fea1-0733-3cd051e1ec44</v>
    <v>en-US</v>
    <v>Generic</v>
  </rv>
  <rv s="4">
    <v>66</v>
  </rv>
  <rv s="5">
    <v>https://www.bing.com/search?q=zrenjanin&amp;form=skydnc</v>
    <v>Learn more on Bing</v>
  </rv>
  <rv s="2">
    <fb>20.386111111110999</fb>
    <v>9</v>
  </rv>
  <rv s="2">
    <fb>67129</fb>
    <v>8</v>
  </rv>
  <rv s="4">
    <v>67</v>
  </rv>
  <rv s="6">
    <v>#VALUE!</v>
    <v>en-US</v>
    <v>ac4e0e07-1557-d6c8-e598-3e3c6d2eb520</v>
    <v>536870912</v>
    <v>1</v>
    <v>174</v>
    <v>2</v>
    <v>Zrenjanin</v>
    <v>4</v>
    <v>5</v>
    <v>Map</v>
    <v>6</v>
    <v>7</v>
    <v>328</v>
    <v>651</v>
    <v>5</v>
    <v>Zrenjanin is a city and the administrative center of the Central Banat District in the autonomous province of Vojvodina, Serbia. The city urban area has a population of 67,129 inhabitants, while the city administrative area has 105,722 ...</v>
    <v>652</v>
    <v>653</v>
    <v>655</v>
    <v>656</v>
    <v>657</v>
    <v>Zrenjanin</v>
    <v>658</v>
    <v>659</v>
    <v>Zrenjanin</v>
    <v>mdp/vdpid/7025445080848662529</v>
  </rv>
  <rv s="1">
    <v>536870912</v>
    <v>Prijedor</v>
    <v>6e3d3e85-b759-3188-883f-115ededf0f7d</v>
    <v>en-US</v>
    <v>Map</v>
  </rv>
  <rv s="2">
    <fb>834.06</fb>
    <v>8</v>
  </rv>
  <rv s="3">
    <v>64</v>
    <v>6</v>
    <v>175</v>
    <v>7</v>
    <v>0</v>
    <v>Image of Prijedor</v>
  </rv>
  <rv s="2">
    <fb>44.966666666667003</fb>
    <v>9</v>
  </rv>
  <rv s="1">
    <v>805306368</v>
    <v>Slobodan Javor (Mayor)</v>
    <v>2eac8f73-29f5-62a1-dc46-c8fc189a0461</v>
    <v>en-US</v>
    <v>Generic</v>
  </rv>
  <rv s="4">
    <v>68</v>
  </rv>
  <rv s="5">
    <v>https://www.bing.com/search?q=prijedor&amp;form=skydnc</v>
    <v>Learn more on Bing</v>
  </rv>
  <rv s="2">
    <fb>16.7</fb>
    <v>9</v>
  </rv>
  <rv s="2">
    <fb>89397</fb>
    <v>8</v>
  </rv>
  <rv s="8">
    <v>#VALUE!</v>
    <v>en-US</v>
    <v>6e3d3e85-b759-3188-883f-115ededf0f7d</v>
    <v>536870912</v>
    <v>1</v>
    <v>176</v>
    <v>18</v>
    <v>Prijedor</v>
    <v>4</v>
    <v>5</v>
    <v>Map</v>
    <v>6</v>
    <v>15</v>
    <v>27</v>
    <v>662</v>
    <v>29</v>
    <v>Prijedor is a city and municipality of Bosnia and Herzegovina, located in Republika Srpska entity. As of 2013, it had a population of 89,397 inhabitants within its administrative limits. Prijedor is situated in the northwestern part of the ...</v>
    <v>663</v>
    <v>664</v>
    <v>666</v>
    <v>667</v>
    <v>668</v>
    <v>Prijedor</v>
    <v>669</v>
    <v>Prijedor</v>
    <v>mdp/vdpid/7217019186424315905</v>
  </rv>
  <rv s="1">
    <v>536870912</v>
    <v>Srbac</v>
    <v>27b56c5c-1d25-1f89-1d4a-e69136dfd5b2</v>
    <v>en-US</v>
    <v>Map</v>
  </rv>
  <rv s="2">
    <fb>453</fb>
    <v>8</v>
  </rv>
  <rv s="3">
    <v>65</v>
    <v>6</v>
    <v>177</v>
    <v>7</v>
    <v>0</v>
    <v>Image of Srbac</v>
  </rv>
  <rv s="2">
    <fb>45.1</fb>
    <v>9</v>
  </rv>
  <rv s="4">
    <v>69</v>
  </rv>
  <rv s="5">
    <v>https://www.bing.com/search?q=srbac&amp;form=skydnc</v>
    <v>Learn more on Bing</v>
  </rv>
  <rv s="2">
    <fb>17.516666666667</fb>
    <v>9</v>
  </rv>
  <rv s="2">
    <fb>17587</fb>
    <v>8</v>
  </rv>
  <rv s="6">
    <v>#VALUE!</v>
    <v>en-US</v>
    <v>27b56c5c-1d25-1f89-1d4a-e69136dfd5b2</v>
    <v>536870912</v>
    <v>1</v>
    <v>178</v>
    <v>2</v>
    <v>Srbac</v>
    <v>4</v>
    <v>5</v>
    <v>Map</v>
    <v>6</v>
    <v>15</v>
    <v>27</v>
    <v>672</v>
    <v>29</v>
    <v>Srbac is a town and municipality in Republika Srpska, Bosnia and Herzegovina. As of 2013, it has a population of 17,587 inhabitants, while the town of Srbac has a population of 2,707 inhabitants. The municipality of Srbac is situated at the ...</v>
    <v>673</v>
    <v>674</v>
    <v>675</v>
    <v>676</v>
    <v>677</v>
    <v>Srbac</v>
    <v>678</v>
    <v>13</v>
    <v>Srbac</v>
    <v>mdp/vdpid/7024901902273871873</v>
  </rv>
</rvData>
</file>

<file path=xl/richData/rdrichvaluestructure.xml><?xml version="1.0" encoding="utf-8"?>
<rvStructures xmlns="http://schemas.microsoft.com/office/spreadsheetml/2017/richdata" count="23">
  <s t="_error">
    <k n="errorType" t="i"/>
    <k n="field" t="s"/>
    <k n="subType" t="i"/>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rvStructures>
</file>

<file path=xl/richData/rdsupportingpropertybag.xml><?xml version="1.0" encoding="utf-8"?>
<supportingPropertyBags xmlns="http://schemas.microsoft.com/office/spreadsheetml/2017/richdata2">
  <spbArrays count="17">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Leader(s)</v>
      <v t="s">_SubLabel</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Country/region</v>
      <v t="s">Leader(s)</v>
      <v t="s">_SubLabel</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spbArrays>
  <spbData count="179">
    <spb s="0">
      <v xml:space="preserve">Wikipedia	</v>
      <v xml:space="preserve">CC BY-SA 3.0	</v>
      <v xml:space="preserve">https://en.wikipedia.org/wiki/Aleksandrovac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8">
      <v>4</v>
    </spb>
    <spb s="0">
      <v xml:space="preserve">Wikipedia	</v>
      <v xml:space="preserve">CC BY-SA 3.0	</v>
      <v xml:space="preserve">https://en.wikipedia.org/wiki/Aran%C4%91elovac	</v>
      <v xml:space="preserve">https://creativecommons.org/licenses/by-sa/3.0	</v>
    </spb>
    <spb s="1">
      <v>10</v>
      <v>10</v>
      <v>10</v>
      <v>10</v>
      <v>10</v>
      <v>10</v>
      <v>10</v>
      <v>10</v>
      <v>10</v>
    </spb>
    <spb s="0">
      <v xml:space="preserve">Wikipedia	</v>
      <v xml:space="preserve">CC BY-SA 3.0	</v>
      <v xml:space="preserve">https://en.wikipedia.org/wiki/Banja_Luka	</v>
      <v xml:space="preserve">https://creativecommons.org/licenses/by-sa/3.0	</v>
    </spb>
    <spb s="9">
      <v>12</v>
      <v>12</v>
      <v>12</v>
      <v>12</v>
      <v>12</v>
      <v>12</v>
      <v>12</v>
      <v>12</v>
      <v>12</v>
      <v>12</v>
    </spb>
    <spb s="2">
      <v>1</v>
      <v>Name</v>
      <v>LearnMoreOnLink</v>
    </spb>
    <spb s="7">
      <v>square km</v>
      <v>2013</v>
    </spb>
    <spb s="0">
      <v xml:space="preserve">Wikipedia	</v>
      <v xml:space="preserve">CC BY-SA 3.0	</v>
      <v xml:space="preserve">https://en.wikipedia.org/wiki/Bar,_Montenegro	</v>
      <v xml:space="preserve">https://creativecommons.org/licenses/by-sa/3.0	</v>
    </spb>
    <spb s="1">
      <v>16</v>
      <v>16</v>
      <v>16</v>
      <v>16</v>
      <v>16</v>
      <v>16</v>
      <v>16</v>
      <v>16</v>
      <v>16</v>
    </spb>
    <spb s="2">
      <v>2</v>
      <v>Name</v>
      <v>LearnMoreOnLink</v>
    </spb>
    <spb s="7">
      <v>square km</v>
      <v>2003</v>
    </spb>
    <spb s="0">
      <v xml:space="preserve">Wikipedia	</v>
      <v xml:space="preserve">CC BY-SA 3.0	</v>
      <v xml:space="preserve">https://en.wikipedia.org/wiki/Batajnica	</v>
      <v xml:space="preserve">https://creativecommons.org/licenses/by-sa/3.0	</v>
    </spb>
    <spb s="10">
      <v>20</v>
      <v>20</v>
      <v>20</v>
      <v>20</v>
      <v>20</v>
      <v>20</v>
      <v>20</v>
    </spb>
    <spb s="2">
      <v>3</v>
      <v>Name</v>
      <v>LearnMoreOnLink</v>
    </spb>
    <spb s="11">
      <v>square km</v>
    </spb>
    <spb s="0">
      <v xml:space="preserve">Wikipedia	</v>
      <v xml:space="preserve">CC BY-SA 3.0	</v>
      <v xml:space="preserve">https://en.wikipedia.org/wiki/Be%C4%8Dej	</v>
      <v xml:space="preserve">https://creativecommons.org/licenses/by-sa/3.0	</v>
    </spb>
    <spb s="12">
      <v>24</v>
      <v>24</v>
      <v>24</v>
      <v>24</v>
      <v>24</v>
      <v>24</v>
      <v>24</v>
      <v>24</v>
    </spb>
    <spb s="2">
      <v>4</v>
      <v>Name</v>
      <v>LearnMoreOnLink</v>
    </spb>
    <spb s="0">
      <v xml:space="preserve">Wikipedia	</v>
      <v xml:space="preserve">CC BY-SA 3.0	</v>
      <v xml:space="preserve">https://en.wikipedia.org/wiki/Belgrade	</v>
      <v xml:space="preserve">https://creativecommons.org/licenses/by-sa/3.0	</v>
    </spb>
    <spb s="0">
      <v xml:space="preserve">Wikipedia	</v>
      <v xml:space="preserve">CC-BY-SA	</v>
      <v xml:space="preserve">http://en.wikipedia.org/wiki/Belgrade	</v>
      <v xml:space="preserve">http://creativecommons.org/licenses/by-sa/3.0/	</v>
    </spb>
    <spb s="13">
      <v>27</v>
      <v>27</v>
      <v>27</v>
      <v>27</v>
      <v>27</v>
      <v>28</v>
      <v>27</v>
    </spb>
    <spb s="2">
      <v>5</v>
      <v>Name</v>
      <v>LearnMoreOnLink</v>
    </spb>
    <spb s="0">
      <v xml:space="preserve">Wikipedia	</v>
      <v xml:space="preserve">CC BY-SA 3.0	</v>
      <v xml:space="preserve">https://en.wikipedia.org/wiki/Bijeljina	</v>
      <v xml:space="preserve">https://creativecommons.org/licenses/by-sa/3.0	</v>
    </spb>
    <spb s="1">
      <v>31</v>
      <v>31</v>
      <v>31</v>
      <v>31</v>
      <v>31</v>
      <v>31</v>
      <v>31</v>
      <v>31</v>
      <v>31</v>
    </spb>
    <spb s="0">
      <v xml:space="preserve">Wikipedia	</v>
      <v xml:space="preserve">CC BY-SA 3.0	</v>
      <v xml:space="preserve">https://en.wikipedia.org/wiki/Boljevac	</v>
      <v xml:space="preserve">https://creativecommons.org/licenses/by-sa/3.0	</v>
    </spb>
    <spb s="9">
      <v>33</v>
      <v>33</v>
      <v>33</v>
      <v>33</v>
      <v>33</v>
      <v>33</v>
      <v>33</v>
      <v>33</v>
      <v>33</v>
      <v>33</v>
    </spb>
    <spb s="2">
      <v>6</v>
      <v>Name</v>
      <v>LearnMoreOnLink</v>
    </spb>
    <spb s="0">
      <v xml:space="preserve">Wikipedia	</v>
      <v xml:space="preserve">CC BY-SA 3.0	</v>
      <v xml:space="preserve">https://en.wikipedia.org/wiki/Bor%C4%8Da	</v>
      <v xml:space="preserve">https://creativecommons.org/licenses/by-sa/3.0	</v>
    </spb>
    <spb s="9">
      <v>36</v>
      <v>36</v>
      <v>36</v>
      <v>36</v>
      <v>36</v>
      <v>36</v>
      <v>36</v>
      <v>36</v>
      <v>36</v>
      <v>36</v>
    </spb>
    <spb s="2">
      <v>7</v>
      <v>Name</v>
      <v>LearnMoreOnLink</v>
    </spb>
    <spb s="7">
      <v>square km</v>
      <v>2011</v>
    </spb>
    <spb s="0">
      <v xml:space="preserve">Wikipedia	</v>
      <v xml:space="preserve">CC BY-SA 3.0	</v>
      <v xml:space="preserve">https://en.wikipedia.org/wiki/Br%C4%8Dko	</v>
      <v xml:space="preserve">https://creativecommons.org/licenses/by-sa/3.0	</v>
    </spb>
    <spb s="9">
      <v>40</v>
      <v>40</v>
      <v>40</v>
      <v>40</v>
      <v>40</v>
      <v>40</v>
      <v>40</v>
      <v>40</v>
      <v>40</v>
      <v>40</v>
    </spb>
    <spb s="0">
      <v xml:space="preserve">Wikipedia	</v>
      <v xml:space="preserve">CC BY-SA 3.0	</v>
      <v xml:space="preserve">https://en.wikipedia.org/wiki/Brus	</v>
      <v xml:space="preserve">https://creativecommons.org/licenses/by-sa/3.0	</v>
    </spb>
    <spb s="1">
      <v>42</v>
      <v>42</v>
      <v>42</v>
      <v>42</v>
      <v>42</v>
      <v>42</v>
      <v>42</v>
      <v>42</v>
      <v>42</v>
    </spb>
    <spb s="0">
      <v xml:space="preserve">Wikipedia	</v>
      <v xml:space="preserve">CC BY-SA 3.0	</v>
      <v xml:space="preserve">https://en.wikipedia.org/wiki/Budva	</v>
      <v xml:space="preserve">https://creativecommons.org/licenses/by-sa/3.0	</v>
    </spb>
    <spb s="1">
      <v>44</v>
      <v>44</v>
      <v>44</v>
      <v>44</v>
      <v>44</v>
      <v>44</v>
      <v>44</v>
      <v>44</v>
      <v>44</v>
    </spb>
    <spb s="7">
      <v>square km</v>
      <v>2023</v>
    </spb>
    <spb s="0">
      <v xml:space="preserve">Wikipedia	</v>
      <v xml:space="preserve">CC BY-SA 3.0	</v>
      <v xml:space="preserve">https://en.wikipedia.org/wiki/%C4%8Ca%C4%8Dak	</v>
      <v xml:space="preserve">https://creativecommons.org/licenses/by-sa/3.0	</v>
    </spb>
    <spb s="1">
      <v>47</v>
      <v>47</v>
      <v>47</v>
      <v>47</v>
      <v>47</v>
      <v>47</v>
      <v>47</v>
      <v>47</v>
      <v>47</v>
    </spb>
    <spb s="7">
      <v>square km</v>
      <v>2018</v>
    </spb>
    <spb s="0">
      <v xml:space="preserve">Wikipedia	</v>
      <v xml:space="preserve">CC BY-SA 3.0	</v>
      <v xml:space="preserve">https://en.wikipedia.org/wiki/Chicago	</v>
      <v xml:space="preserve">https://creativecommons.org/licenses/by-sa/3.0	</v>
    </spb>
    <spb s="9">
      <v>50</v>
      <v>50</v>
      <v>50</v>
      <v>50</v>
      <v>50</v>
      <v>50</v>
      <v>50</v>
      <v>50</v>
      <v>50</v>
      <v>50</v>
    </spb>
    <spb s="0">
      <v xml:space="preserve">Wikipedia	</v>
      <v xml:space="preserve">CC BY-SA 3.0	</v>
      <v xml:space="preserve">https://en.wikipedia.org/wiki/Futog	</v>
      <v xml:space="preserve">https://creativecommons.org/licenses/by-sa/3.0	</v>
    </spb>
    <spb s="9">
      <v>52</v>
      <v>52</v>
      <v>52</v>
      <v>52</v>
      <v>52</v>
      <v>52</v>
      <v>52</v>
      <v>52</v>
      <v>52</v>
      <v>52</v>
    </spb>
    <spb s="0">
      <v xml:space="preserve">Wikipedia	</v>
      <v xml:space="preserve">CC BY-SA 3.0	</v>
      <v xml:space="preserve">https://en.wikipedia.org/wiki/In%C4%91ija	</v>
      <v xml:space="preserve">https://creativecommons.org/licenses/by-sa/3.0	</v>
    </spb>
    <spb s="12">
      <v>54</v>
      <v>54</v>
      <v>54</v>
      <v>54</v>
      <v>54</v>
      <v>54</v>
      <v>54</v>
      <v>54</v>
    </spb>
    <spb s="0">
      <v xml:space="preserve">Wikipedia	</v>
      <v xml:space="preserve">CC BY-SA 3.0	</v>
      <v xml:space="preserve">https://en.wikipedia.org/wiki/Isto%C4%8Dno_Sarajevo	</v>
      <v xml:space="preserve">https://creativecommons.org/licenses/by-sa/3.0	</v>
    </spb>
    <spb s="0">
      <v xml:space="preserve">Wikipedia	</v>
      <v xml:space="preserve">CC-BY-SA	</v>
      <v xml:space="preserve">http://en.wikipedia.org/wiki/Istočno_Sarajevo	</v>
      <v xml:space="preserve">http://creativecommons.org/licenses/by-sa/3.0/	</v>
    </spb>
    <spb s="14">
      <v>56</v>
      <v>56</v>
      <v>56</v>
      <v>56</v>
      <v>57</v>
      <v>56</v>
      <v>56</v>
      <v>56</v>
    </spb>
    <spb s="2">
      <v>8</v>
      <v>Name</v>
      <v>LearnMoreOnLink</v>
    </spb>
    <spb s="0">
      <v xml:space="preserve">Wikipedia	</v>
      <v xml:space="preserve">CC BY-SA 3.0	</v>
      <v xml:space="preserve">https://en.wikipedia.org/wiki/Kotor	</v>
      <v xml:space="preserve">https://creativecommons.org/licenses/by-sa/3.0	</v>
    </spb>
    <spb s="1">
      <v>60</v>
      <v>60</v>
      <v>60</v>
      <v>60</v>
      <v>60</v>
      <v>60</v>
      <v>60</v>
      <v>60</v>
      <v>60</v>
    </spb>
    <spb s="0">
      <v xml:space="preserve">Wikipedia	</v>
      <v xml:space="preserve">CC BY-SA 3.0	</v>
      <v xml:space="preserve">https://en.wikipedia.org/wiki/Kovin	</v>
      <v xml:space="preserve">https://creativecommons.org/licenses/by-sa/3.0	</v>
    </spb>
    <spb s="12">
      <v>62</v>
      <v>62</v>
      <v>62</v>
      <v>62</v>
      <v>62</v>
      <v>62</v>
      <v>62</v>
      <v>62</v>
    </spb>
    <spb s="0">
      <v xml:space="preserve">Wikipedia	</v>
      <v xml:space="preserve">CC BY-SA 3.0	</v>
      <v xml:space="preserve">https://en.wikipedia.org/wiki/Kragujevac	</v>
      <v xml:space="preserve">https://creativecommons.org/licenses/by-sa/3.0	</v>
    </spb>
    <spb s="9">
      <v>64</v>
      <v>64</v>
      <v>64</v>
      <v>64</v>
      <v>64</v>
      <v>64</v>
      <v>64</v>
      <v>64</v>
      <v>64</v>
      <v>64</v>
    </spb>
    <spb s="0">
      <v xml:space="preserve">Wikipedia	</v>
      <v xml:space="preserve">CC BY-SA 3.0	</v>
      <v xml:space="preserve">https://en.wikipedia.org/wiki/Kru%C5%A1evac	</v>
      <v xml:space="preserve">https://creativecommons.org/licenses/by-sa/3.0	</v>
    </spb>
    <spb s="1">
      <v>66</v>
      <v>66</v>
      <v>66</v>
      <v>66</v>
      <v>66</v>
      <v>66</v>
      <v>66</v>
      <v>66</v>
      <v>66</v>
    </spb>
    <spb s="0">
      <v xml:space="preserve">Wikipedia	</v>
      <v xml:space="preserve">CC BY-SA 3.0	</v>
      <v xml:space="preserve">https://en.wikipedia.org/wiki/Kula,_Serbia	</v>
      <v xml:space="preserve">https://creativecommons.org/licenses/by-sa/3.0	</v>
    </spb>
    <spb s="1">
      <v>68</v>
      <v>68</v>
      <v>68</v>
      <v>68</v>
      <v>68</v>
      <v>68</v>
      <v>68</v>
      <v>68</v>
      <v>68</v>
    </spb>
    <spb s="0">
      <v xml:space="preserve">Wikipedia	</v>
      <v xml:space="preserve">CC BY-SA 3.0	</v>
      <v xml:space="preserve">https://en.wikipedia.org/wiki/Lajkovac	</v>
      <v xml:space="preserve">https://creativecommons.org/licenses/by-sa/3.0	</v>
    </spb>
    <spb s="12">
      <v>70</v>
      <v>70</v>
      <v>70</v>
      <v>70</v>
      <v>70</v>
      <v>70</v>
      <v>70</v>
      <v>70</v>
    </spb>
    <spb s="0">
      <v xml:space="preserve">Wikipedia	</v>
      <v xml:space="preserve">CC BY-SA 3.0	</v>
      <v xml:space="preserve">https://en.wikipedia.org/wiki/Lazarevac	</v>
      <v xml:space="preserve">https://creativecommons.org/licenses/by-sa/3.0	</v>
    </spb>
    <spb s="15">
      <v>72</v>
      <v>72</v>
      <v>72</v>
      <v>72</v>
      <v>72</v>
      <v>72</v>
      <v>72</v>
      <v>72</v>
    </spb>
    <spb s="2">
      <v>9</v>
      <v>Name</v>
      <v>LearnMoreOnLink</v>
    </spb>
    <spb s="0">
      <v xml:space="preserve">Wikipedia	</v>
      <v xml:space="preserve">CC BY-SA 3.0	</v>
      <v xml:space="preserve">https://en.wikipedia.org/wiki/Ljubljana	</v>
      <v xml:space="preserve">https://creativecommons.org/licenses/by-sa/3.0	</v>
    </spb>
    <spb s="14">
      <v>75</v>
      <v>75</v>
      <v>75</v>
      <v>75</v>
      <v>75</v>
      <v>75</v>
      <v>75</v>
      <v>75</v>
    </spb>
    <spb s="2">
      <v>10</v>
      <v>Name</v>
      <v>LearnMoreOnLink</v>
    </spb>
    <spb s="0">
      <v xml:space="preserve">Wikipedia	</v>
      <v xml:space="preserve">CC BY-SA 3.0	</v>
      <v xml:space="preserve">https://en.wikipedia.org/wiki/Loznica	</v>
      <v xml:space="preserve">https://creativecommons.org/licenses/by-sa/3.0	</v>
    </spb>
    <spb s="12">
      <v>78</v>
      <v>78</v>
      <v>78</v>
      <v>78</v>
      <v>78</v>
      <v>78</v>
      <v>78</v>
      <v>78</v>
    </spb>
    <spb s="2">
      <v>11</v>
      <v>Name</v>
      <v>LearnMoreOnLink</v>
    </spb>
    <spb s="0">
      <v xml:space="preserve">Wikipedia	</v>
      <v xml:space="preserve">CC BY-SA 3.0	</v>
      <v xml:space="preserve">https://en.wikipedia.org/wiki/Mionica	</v>
      <v xml:space="preserve">https://creativecommons.org/licenses/by-sa/3.0	</v>
    </spb>
    <spb s="12">
      <v>81</v>
      <v>81</v>
      <v>81</v>
      <v>81</v>
      <v>81</v>
      <v>81</v>
      <v>81</v>
      <v>81</v>
    </spb>
    <spb s="0">
      <v xml:space="preserve">Wikipedia	</v>
      <v xml:space="preserve">CC BY-SA 3.0	</v>
      <v xml:space="preserve">https://en.wikipedia.org/wiki/Mladenovac	</v>
      <v xml:space="preserve">https://creativecommons.org/licenses/by-sa/3.0	</v>
    </spb>
    <spb s="14">
      <v>83</v>
      <v>83</v>
      <v>83</v>
      <v>83</v>
      <v>83</v>
      <v>83</v>
      <v>83</v>
      <v>83</v>
    </spb>
    <spb s="2">
      <v>12</v>
      <v>Name</v>
      <v>LearnMoreOnLink</v>
    </spb>
    <spb s="7">
      <v>square km</v>
      <v>2024</v>
    </spb>
    <spb s="0">
      <v xml:space="preserve">Wikipedia	</v>
      <v xml:space="preserve">CC BY-SA 3.0	</v>
      <v xml:space="preserve">https://en.wikipedia.org/wiki/Nik%C5%A1i%C4%87	</v>
      <v xml:space="preserve">https://creativecommons.org/licenses/by-sa/3.0	</v>
    </spb>
    <spb s="9">
      <v>87</v>
      <v>87</v>
      <v>87</v>
      <v>87</v>
      <v>87</v>
      <v>87</v>
      <v>87</v>
      <v>87</v>
      <v>87</v>
      <v>87</v>
    </spb>
    <spb s="0">
      <v xml:space="preserve">Wikipedia	</v>
      <v xml:space="preserve">CC BY-SA 3.0	</v>
      <v xml:space="preserve">https://en.wikipedia.org/wiki/Ni%C5%A1	</v>
      <v xml:space="preserve">https://creativecommons.org/licenses/by-sa/3.0	</v>
    </spb>
    <spb s="9">
      <v>89</v>
      <v>89</v>
      <v>89</v>
      <v>89</v>
      <v>89</v>
      <v>89</v>
      <v>89</v>
      <v>89</v>
      <v>89</v>
      <v>89</v>
    </spb>
    <spb s="0">
      <v xml:space="preserve">Wikipedia	</v>
      <v xml:space="preserve">CC BY-SA 3.0	</v>
      <v xml:space="preserve">https://en.wikipedia.org/wiki/Novi_Be%C4%8Dej	</v>
      <v xml:space="preserve">https://creativecommons.org/licenses/by-sa/3.0	</v>
    </spb>
    <spb s="1">
      <v>91</v>
      <v>91</v>
      <v>91</v>
      <v>91</v>
      <v>91</v>
      <v>91</v>
      <v>91</v>
      <v>91</v>
      <v>91</v>
    </spb>
    <spb s="0">
      <v xml:space="preserve">Wikipedia	</v>
      <v xml:space="preserve">CC BY-SA 3.0	</v>
      <v xml:space="preserve">https://en.wikipedia.org/wiki/Novi_Kne%C5%BEevac	</v>
      <v xml:space="preserve">https://creativecommons.org/licenses/by-sa/3.0	</v>
    </spb>
    <spb s="0">
      <v xml:space="preserve">Wikipedia	</v>
      <v xml:space="preserve">CC-BY-SA	</v>
      <v xml:space="preserve">http://en.wikipedia.org/wiki/Novi_Kneževac	</v>
      <v xml:space="preserve">http://creativecommons.org/licenses/by-sa/3.0/	</v>
    </spb>
    <spb s="1">
      <v>93</v>
      <v>93</v>
      <v>93</v>
      <v>93</v>
      <v>94</v>
      <v>93</v>
      <v>93</v>
      <v>93</v>
      <v>93</v>
    </spb>
    <spb s="0">
      <v xml:space="preserve">Wikipedia	</v>
      <v xml:space="preserve">CC BY-SA 3.0	</v>
      <v xml:space="preserve">https://en.wikipedia.org/wiki/Novi_Pazar	</v>
      <v xml:space="preserve">https://creativecommons.org/licenses/by-sa/3.0	</v>
    </spb>
    <spb s="1">
      <v>96</v>
      <v>96</v>
      <v>96</v>
      <v>96</v>
      <v>96</v>
      <v>96</v>
      <v>96</v>
      <v>96</v>
      <v>96</v>
    </spb>
    <spb s="0">
      <v xml:space="preserve">Wikipedia	</v>
      <v xml:space="preserve">CC BY-SA 3.0	</v>
      <v xml:space="preserve">https://en.wikipedia.org/wiki/Novi_Sad	</v>
      <v xml:space="preserve">https://creativecommons.org/licenses/by-sa/3.0	</v>
    </spb>
    <spb s="1">
      <v>98</v>
      <v>98</v>
      <v>98</v>
      <v>98</v>
      <v>98</v>
      <v>98</v>
      <v>98</v>
      <v>98</v>
      <v>98</v>
    </spb>
    <spb s="7">
      <v>square km</v>
      <v>2020</v>
    </spb>
    <spb s="0">
      <v xml:space="preserve">Wikipedia	</v>
      <v xml:space="preserve">CC BY-SA 3.0	</v>
      <v xml:space="preserve">https://en.wikipedia.org/wiki/Osijek	</v>
      <v xml:space="preserve">https://creativecommons.org/licenses/by-sa/3.0	</v>
    </spb>
    <spb s="1">
      <v>101</v>
      <v>101</v>
      <v>101</v>
      <v>101</v>
      <v>101</v>
      <v>101</v>
      <v>101</v>
      <v>101</v>
      <v>101</v>
    </spb>
    <spb s="7">
      <v>square km</v>
      <v>2021</v>
    </spb>
    <spb s="0">
      <v xml:space="preserve">Wikipedia	</v>
      <v xml:space="preserve">CC BY-SA 3.0	</v>
      <v xml:space="preserve">https://en.wikipedia.org/wiki/Pan%C4%8Devo	</v>
      <v xml:space="preserve">https://creativecommons.org/licenses/by-sa/3.0	</v>
    </spb>
    <spb s="1">
      <v>104</v>
      <v>104</v>
      <v>104</v>
      <v>104</v>
      <v>104</v>
      <v>104</v>
      <v>104</v>
      <v>104</v>
      <v>104</v>
    </spb>
    <spb s="0">
      <v xml:space="preserve">Wikipedia	</v>
      <v xml:space="preserve">CC BY-SA 3.0	</v>
      <v xml:space="preserve">https://en.wikipedia.org/wiki/Pazin	</v>
      <v xml:space="preserve">https://creativecommons.org/licenses/by-sa/3.0	</v>
    </spb>
    <spb s="1">
      <v>106</v>
      <v>106</v>
      <v>106</v>
      <v>106</v>
      <v>106</v>
      <v>106</v>
      <v>106</v>
      <v>106</v>
      <v>106</v>
    </spb>
    <spb s="0">
      <v xml:space="preserve">Wikipedia	</v>
      <v xml:space="preserve">CC BY-SA 3.0	</v>
      <v xml:space="preserve">https://en.wikipedia.org/wiki/Podgorica	</v>
      <v xml:space="preserve">https://creativecommons.org/licenses/by-sa/3.0	</v>
    </spb>
    <spb s="1">
      <v>108</v>
      <v>108</v>
      <v>108</v>
      <v>108</v>
      <v>108</v>
      <v>108</v>
      <v>108</v>
      <v>108</v>
      <v>108</v>
    </spb>
    <spb s="0">
      <v xml:space="preserve">Wikipedia	</v>
      <v xml:space="preserve">CC BY-SA 3.0	</v>
      <v xml:space="preserve">https://en.wikipedia.org/wiki/Po%C5%BEarevac	</v>
      <v xml:space="preserve">https://creativecommons.org/licenses/by-sa/3.0	</v>
    </spb>
    <spb s="12">
      <v>110</v>
      <v>110</v>
      <v>110</v>
      <v>110</v>
      <v>110</v>
      <v>110</v>
      <v>110</v>
      <v>110</v>
    </spb>
    <spb s="0">
      <v xml:space="preserve">Wikipedia	</v>
      <v xml:space="preserve">CC BY-SA 3.0	</v>
      <v xml:space="preserve">https://en.wikipedia.org/wiki/Pula	</v>
      <v xml:space="preserve">https://creativecommons.org/licenses/by-sa/3.0	</v>
    </spb>
    <spb s="1">
      <v>112</v>
      <v>112</v>
      <v>112</v>
      <v>112</v>
      <v>112</v>
      <v>112</v>
      <v>112</v>
      <v>112</v>
      <v>112</v>
    </spb>
    <spb s="0">
      <v xml:space="preserve">Wikipedia	</v>
      <v xml:space="preserve">CC BY-SA 3.0	</v>
      <v xml:space="preserve">https://en.wikipedia.org/wiki/Radoboj	</v>
      <v xml:space="preserve">https://creativecommons.org/licenses/by-sa/3.0	</v>
    </spb>
    <spb s="1">
      <v>114</v>
      <v>114</v>
      <v>114</v>
      <v>114</v>
      <v>114</v>
      <v>114</v>
      <v>114</v>
      <v>114</v>
      <v>114</v>
    </spb>
    <spb s="0">
      <v xml:space="preserve">Wikipedia	</v>
      <v xml:space="preserve">CC BY-SA 3.0	</v>
      <v xml:space="preserve">https://en.wikipedia.org/wiki/Rijeka	</v>
      <v xml:space="preserve">https://creativecommons.org/licenses/by-sa/3.0	</v>
    </spb>
    <spb s="9">
      <v>116</v>
      <v>116</v>
      <v>116</v>
      <v>116</v>
      <v>116</v>
      <v>116</v>
      <v>116</v>
      <v>116</v>
      <v>116</v>
      <v>116</v>
    </spb>
    <spb s="0">
      <v xml:space="preserve">Wikipedia	</v>
      <v xml:space="preserve">CC-BY-SA	</v>
      <v xml:space="preserve">http://en.wikipedia.org/wiki/Rogatica	</v>
      <v xml:space="preserve">http://creativecommons.org/licenses/by-sa/3.0/	</v>
    </spb>
    <spb s="0">
      <v xml:space="preserve">Wikipedia	</v>
      <v xml:space="preserve">CC BY-SA 3.0	</v>
      <v xml:space="preserve">https://en.wikipedia.org/wiki/Rogatica	</v>
      <v xml:space="preserve">https://creativecommons.org/licenses/by-sa/3.0	</v>
    </spb>
    <spb s="1">
      <v>118</v>
      <v>119</v>
      <v>119</v>
      <v>119</v>
      <v>119</v>
      <v>119</v>
      <v>119</v>
      <v>119</v>
      <v>119</v>
    </spb>
    <spb s="0">
      <v xml:space="preserve">Wikipedia	</v>
      <v xml:space="preserve">CC BY-SA 3.0	</v>
      <v xml:space="preserve">https://en.wikipedia.org/wiki/%C5%A0abac	</v>
      <v xml:space="preserve">https://creativecommons.org/licenses/by-sa/3.0	</v>
    </spb>
    <spb s="0">
      <v xml:space="preserve">Wikipedia	</v>
      <v xml:space="preserve">CC-BY-SA	</v>
      <v xml:space="preserve">http://zh.wikipedia.org/zh-tw/index.html?curid=906848	</v>
      <v xml:space="preserve">http://creativecommons.org/licenses/by-sa/3.0/	</v>
    </spb>
    <spb s="1">
      <v>121</v>
      <v>121</v>
      <v>121</v>
      <v>121</v>
      <v>122</v>
      <v>121</v>
      <v>121</v>
      <v>121</v>
      <v>121</v>
    </spb>
    <spb s="7">
      <v>square km</v>
      <v>2010</v>
    </spb>
    <spb s="0">
      <v xml:space="preserve">Wikipedia	Wikipedia	</v>
      <v xml:space="preserve">CC-BY-SA	CC-BY-SA	</v>
      <v xml:space="preserve">http://en.wikipedia.org/wiki/Šajkaš	http://fr.wikipedia.org/wiki/Šajkaš	</v>
      <v xml:space="preserve">http://creativecommons.org/licenses/by-sa/3.0/	http://creativecommons.org/licenses/by-sa/3.0/	</v>
    </spb>
    <spb s="0">
      <v xml:space="preserve">Wikipedia	</v>
      <v xml:space="preserve">CC BY-SA 3.0	</v>
      <v xml:space="preserve">https://en.wikipedia.org/wiki/%C5%A0ajka%C5%A1	</v>
      <v xml:space="preserve">https://creativecommons.org/licenses/by-sa/3.0	</v>
    </spb>
    <spb s="0">
      <v xml:space="preserve">Wikipedia	</v>
      <v xml:space="preserve">CC-BY-SA	</v>
      <v xml:space="preserve">http://en.wikipedia.org/wiki/Šajkaš	</v>
      <v xml:space="preserve">http://creativecommons.org/licenses/by-sa/3.0/	</v>
    </spb>
    <spb s="1">
      <v>125</v>
      <v>126</v>
      <v>126</v>
      <v>126</v>
      <v>127</v>
      <v>126</v>
      <v>126</v>
      <v>126</v>
      <v>126</v>
    </spb>
    <spb s="2">
      <v>13</v>
      <v>Name</v>
      <v>LearnMoreOnLink</v>
    </spb>
    <spb s="0">
      <v xml:space="preserve">Wikipedia	</v>
      <v xml:space="preserve">CC BY-SA 3.0	</v>
      <v xml:space="preserve">https://en.wikipedia.org/wiki/Skopje	</v>
      <v xml:space="preserve">https://creativecommons.org/licenses/by-sa/3.0	</v>
    </spb>
    <spb s="0">
      <v xml:space="preserve">Wikipedia	</v>
      <v xml:space="preserve">CC-BY-SA	</v>
      <v xml:space="preserve">http://en.wikipedia.org/wiki/Skopje	</v>
      <v xml:space="preserve">http://creativecommons.org/licenses/by-sa/3.0/	</v>
    </spb>
    <spb s="13">
      <v>130</v>
      <v>130</v>
      <v>130</v>
      <v>130</v>
      <v>130</v>
      <v>131</v>
      <v>130</v>
    </spb>
    <spb s="2">
      <v>14</v>
      <v>Name</v>
      <v>LearnMoreOnLink</v>
    </spb>
    <spb s="0">
      <v xml:space="preserve">Wikipedia	</v>
      <v xml:space="preserve">CC BY-SA 3.0	</v>
      <v xml:space="preserve">https://en.wikipedia.org/wiki/Smederevo	</v>
      <v xml:space="preserve">https://creativecommons.org/licenses/by-sa/3.0	</v>
    </spb>
    <spb s="0">
      <v xml:space="preserve">Wikipedia	</v>
      <v xml:space="preserve">CC-BY-SA	</v>
      <v xml:space="preserve">http://en.wikipedia.org/wiki/Smederevo	</v>
      <v xml:space="preserve">http://creativecommons.org/licenses/by-sa/3.0/	</v>
    </spb>
    <spb s="1">
      <v>134</v>
      <v>134</v>
      <v>134</v>
      <v>134</v>
      <v>135</v>
      <v>134</v>
      <v>134</v>
      <v>134</v>
      <v>134</v>
    </spb>
    <spb s="0">
      <v xml:space="preserve">Wikipedia	</v>
      <v xml:space="preserve">CC BY-SA 3.0	</v>
      <v xml:space="preserve">https://en.wikipedia.org/wiki/Sokolac	</v>
      <v xml:space="preserve">https://creativecommons.org/licenses/by-sa/3.0	</v>
    </spb>
    <spb s="0">
      <v xml:space="preserve">Wikipedia	</v>
      <v xml:space="preserve">CC-BY-SA	</v>
      <v xml:space="preserve">http://en.wikipedia.org/wiki/Sokolac	</v>
      <v xml:space="preserve">http://creativecommons.org/licenses/by-sa/3.0/	</v>
    </spb>
    <spb s="1">
      <v>137</v>
      <v>137</v>
      <v>137</v>
      <v>137</v>
      <v>138</v>
      <v>137</v>
      <v>137</v>
      <v>137</v>
      <v>137</v>
    </spb>
    <spb s="0">
      <v xml:space="preserve">Wikipedia	</v>
      <v xml:space="preserve">CC BY-SA 3.0	</v>
      <v xml:space="preserve">https://en.wikipedia.org/wiki/Sombor	</v>
      <v xml:space="preserve">https://creativecommons.org/licenses/by-sa/3.0	</v>
    </spb>
    <spb s="1">
      <v>140</v>
      <v>140</v>
      <v>140</v>
      <v>140</v>
      <v>140</v>
      <v>140</v>
      <v>140</v>
      <v>140</v>
      <v>140</v>
    </spb>
    <spb s="7">
      <v>square km</v>
      <v>2002</v>
    </spb>
    <spb s="0">
      <v xml:space="preserve">Wikipedia	</v>
      <v xml:space="preserve">CC BY-SA 3.0	</v>
      <v xml:space="preserve">https://en.wikipedia.org/wiki/Split,_Croatia	</v>
      <v xml:space="preserve">https://creativecommons.org/licenses/by-sa/3.0	</v>
    </spb>
    <spb s="1">
      <v>143</v>
      <v>143</v>
      <v>143</v>
      <v>143</v>
      <v>143</v>
      <v>143</v>
      <v>143</v>
      <v>143</v>
      <v>143</v>
    </spb>
    <spb s="0">
      <v xml:space="preserve">Wikipedia	</v>
      <v xml:space="preserve">CC-BY-SA	</v>
      <v xml:space="preserve">http://en.wikipedia.org/wiki/Sremska_Kamenica	</v>
      <v xml:space="preserve">http://creativecommons.org/licenses/by-sa/3.0/	</v>
    </spb>
    <spb s="0">
      <v xml:space="preserve">Wikipedia	</v>
      <v xml:space="preserve">CC BY-SA 3.0	</v>
      <v xml:space="preserve">https://en.wikipedia.org/wiki/Sremska_Kamenica	</v>
      <v xml:space="preserve">https://creativecommons.org/licenses/by-sa/3.0	</v>
    </spb>
    <spb s="16">
      <v>145</v>
      <v>146</v>
      <v>146</v>
      <v>146</v>
      <v>146</v>
      <v>146</v>
      <v>146</v>
      <v>146</v>
      <v>146</v>
    </spb>
    <spb s="2">
      <v>15</v>
      <v>Name</v>
      <v>LearnMoreOnLink</v>
    </spb>
    <spb s="0">
      <v xml:space="preserve">Wikipedia	</v>
      <v xml:space="preserve">CC BY-SA 3.0	</v>
      <v xml:space="preserve">https://en.wikipedia.org/wiki/Sremska_Mitrovica	</v>
      <v xml:space="preserve">https://creativecommons.org/licenses/by-sa/3.0	</v>
    </spb>
    <spb s="12">
      <v>149</v>
      <v>149</v>
      <v>149</v>
      <v>149</v>
      <v>149</v>
      <v>149</v>
      <v>149</v>
      <v>149</v>
    </spb>
    <spb s="0">
      <v xml:space="preserve">Wikipedia	</v>
      <v xml:space="preserve">CC BY-SA 3.0	</v>
      <v xml:space="preserve">https://en.wikipedia.org/wiki/Stara_Pazova	</v>
      <v xml:space="preserve">https://creativecommons.org/licenses/by-sa/3.0	</v>
    </spb>
    <spb s="12">
      <v>151</v>
      <v>151</v>
      <v>151</v>
      <v>151</v>
      <v>151</v>
      <v>151</v>
      <v>151</v>
      <v>151</v>
    </spb>
    <spb s="0">
      <v xml:space="preserve">Wikipedia	</v>
      <v xml:space="preserve">CC BY-SA 3.0	</v>
      <v xml:space="preserve">https://en.wikipedia.org/wiki/Subotica	</v>
      <v xml:space="preserve">https://creativecommons.org/licenses/by-sa/3.0	</v>
    </spb>
    <spb s="1">
      <v>153</v>
      <v>153</v>
      <v>153</v>
      <v>153</v>
      <v>153</v>
      <v>153</v>
      <v>153</v>
      <v>153</v>
      <v>153</v>
    </spb>
    <spb s="0">
      <v xml:space="preserve">Wikipedia	</v>
      <v xml:space="preserve">CC BY-SA 3.0	</v>
      <v xml:space="preserve">https://en.wikipedia.org/wiki/Topola	</v>
      <v xml:space="preserve">https://creativecommons.org/licenses/by-sa/3.0	</v>
    </spb>
    <spb s="12">
      <v>155</v>
      <v>155</v>
      <v>155</v>
      <v>155</v>
      <v>155</v>
      <v>155</v>
      <v>155</v>
      <v>155</v>
    </spb>
    <spb s="0">
      <v xml:space="preserve">Wikipedia	</v>
      <v xml:space="preserve">CC BY-SA 3.0	</v>
      <v xml:space="preserve">https://en.wikipedia.org/wiki/Valjevo	</v>
      <v xml:space="preserve">https://creativecommons.org/licenses/by-sa/3.0	</v>
    </spb>
    <spb s="1">
      <v>157</v>
      <v>157</v>
      <v>157</v>
      <v>157</v>
      <v>157</v>
      <v>157</v>
      <v>157</v>
      <v>157</v>
      <v>157</v>
    </spb>
    <spb s="0">
      <v xml:space="preserve">Wikipedia	</v>
      <v xml:space="preserve">CC BY-SA 3.0	</v>
      <v xml:space="preserve">https://en.wikipedia.org/wiki/Vara%C5%BEdin	</v>
      <v xml:space="preserve">https://creativecommons.org/licenses/by-sa/3.0	</v>
    </spb>
    <spb s="1">
      <v>159</v>
      <v>159</v>
      <v>159</v>
      <v>159</v>
      <v>159</v>
      <v>159</v>
      <v>159</v>
      <v>159</v>
      <v>159</v>
    </spb>
    <spb s="0">
      <v xml:space="preserve">Wikipedia	</v>
      <v xml:space="preserve">CC BY-SA 3.0	</v>
      <v xml:space="preserve">https://en.wikipedia.org/wiki/Velika_Plana	</v>
      <v xml:space="preserve">https://creativecommons.org/licenses/by-sa/3.0	</v>
    </spb>
    <spb s="12">
      <v>161</v>
      <v>161</v>
      <v>161</v>
      <v>161</v>
      <v>161</v>
      <v>161</v>
      <v>161</v>
      <v>161</v>
    </spb>
    <spb s="0">
      <v xml:space="preserve">Wikipedia	</v>
      <v xml:space="preserve">CC BY-SA 3.0	</v>
      <v xml:space="preserve">https://en.wikipedia.org/wiki/Vinkovci	</v>
      <v xml:space="preserve">https://creativecommons.org/licenses/by-sa/3.0	</v>
    </spb>
    <spb s="1">
      <v>163</v>
      <v>163</v>
      <v>163</v>
      <v>163</v>
      <v>163</v>
      <v>163</v>
      <v>163</v>
      <v>163</v>
      <v>163</v>
    </spb>
    <spb s="0">
      <v xml:space="preserve">Wikipedia	</v>
      <v xml:space="preserve">CC BY-SA 3.0	</v>
      <v xml:space="preserve">https://en.wikipedia.org/wiki/Vrbas,_Serbia	</v>
      <v xml:space="preserve">https://creativecommons.org/licenses/by-sa/3.0	</v>
    </spb>
    <spb s="1">
      <v>165</v>
      <v>165</v>
      <v>165</v>
      <v>165</v>
      <v>165</v>
      <v>165</v>
      <v>165</v>
      <v>165</v>
      <v>165</v>
    </spb>
    <spb s="0">
      <v xml:space="preserve">Wikipedia	</v>
      <v xml:space="preserve">CC BY-SA 3.0	</v>
      <v xml:space="preserve">https://en.wikipedia.org/wiki/Zagreb	</v>
      <v xml:space="preserve">https://creativecommons.org/licenses/by-sa/3.0	</v>
    </spb>
    <spb s="0">
      <v xml:space="preserve">Wikipedia	</v>
      <v xml:space="preserve">CC-BY-SA	</v>
      <v xml:space="preserve">http://en.wikipedia.org/wiki/Zagreb	</v>
      <v xml:space="preserve">http://creativecommons.org/licenses/by-sa/3.0/	</v>
    </spb>
    <spb s="13">
      <v>167</v>
      <v>167</v>
      <v>167</v>
      <v>167</v>
      <v>167</v>
      <v>168</v>
      <v>167</v>
    </spb>
    <spb s="2">
      <v>16</v>
      <v>Name</v>
      <v>LearnMoreOnLink</v>
    </spb>
    <spb s="0">
      <v xml:space="preserve">Wikipedia	</v>
      <v xml:space="preserve">CC BY-SA 3.0	</v>
      <v xml:space="preserve">https://en.wikipedia.org/wiki/Zemun	</v>
      <v xml:space="preserve">https://creativecommons.org/licenses/by-sa/3.0	</v>
    </spb>
    <spb s="14">
      <v>171</v>
      <v>171</v>
      <v>171</v>
      <v>171</v>
      <v>171</v>
      <v>171</v>
      <v>171</v>
      <v>171</v>
    </spb>
    <spb s="0">
      <v xml:space="preserve">Wikipedia	</v>
      <v xml:space="preserve">CC BY-SA 3.0	</v>
      <v xml:space="preserve">https://en.wikipedia.org/wiki/Zrenjanin	</v>
      <v xml:space="preserve">https://creativecommons.org/licenses/by-sa/3.0	</v>
    </spb>
    <spb s="1">
      <v>173</v>
      <v>173</v>
      <v>173</v>
      <v>173</v>
      <v>173</v>
      <v>173</v>
      <v>173</v>
      <v>173</v>
      <v>173</v>
    </spb>
    <spb s="0">
      <v xml:space="preserve">Wikipedia	</v>
      <v xml:space="preserve">CC BY-SA 3.0	</v>
      <v xml:space="preserve">https://en.wikipedia.org/wiki/Prijedor	</v>
      <v xml:space="preserve">https://creativecommons.org/licenses/by-sa/3.0	</v>
    </spb>
    <spb s="1">
      <v>175</v>
      <v>175</v>
      <v>175</v>
      <v>175</v>
      <v>175</v>
      <v>175</v>
      <v>175</v>
      <v>175</v>
      <v>175</v>
    </spb>
    <spb s="0">
      <v xml:space="preserve">Wikipedia	</v>
      <v xml:space="preserve">CC BY-SA 3.0	</v>
      <v xml:space="preserve">https://en.wikipedia.org/wiki/Srbac	</v>
      <v xml:space="preserve">https://creativecommons.org/licenses/by-sa/3.0	</v>
    </spb>
    <spb s="1">
      <v>177</v>
      <v>177</v>
      <v>177</v>
      <v>177</v>
      <v>177</v>
      <v>177</v>
      <v>177</v>
      <v>177</v>
      <v>177</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k n="Admin Division 2 (County/district/other)" t="spb"/>
  </s>
  <s>
    <k n="Area" t="spb"/>
    <k n="Name" t="spb"/>
    <k n="Latitude" t="spb"/>
    <k n="Longitude" t="spb"/>
    <k n="UniqueName" t="spb"/>
    <k n="Description" t="spb"/>
    <k n="Country/region" t="spb"/>
  </s>
  <s>
    <k n="Area" t="s"/>
  </s>
  <s>
    <k n="Area" t="spb"/>
    <k n="Name" t="spb"/>
    <k n="Latitude" t="spb"/>
    <k n="Longitude" t="spb"/>
    <k n="UniqueName" t="spb"/>
    <k n="Description" t="spb"/>
    <k n="Country/region" t="spb"/>
    <k n="Admin Division 1 (State/province/other)" t="spb"/>
  </s>
  <s>
    <k n="Area" t="spb"/>
    <k n="Name" t="spb"/>
    <k n="Population" t="spb"/>
    <k n="UniqueName" t="spb"/>
    <k n="Description" t="spb"/>
    <k n="Abbreviation" t="spb"/>
    <k n="Country/region" t="spb"/>
  </s>
  <s>
    <k n="Area" t="spb"/>
    <k n="Name" t="spb"/>
    <k n="Latitude" t="spb"/>
    <k n="Longitude" t="spb"/>
    <k n="Population" t="spb"/>
    <k n="UniqueName" t="spb"/>
    <k n="Description" t="spb"/>
    <k n="Country/region" t="spb"/>
  </s>
  <s>
    <k n="Area" t="spb"/>
    <k n="Name" t="spb"/>
    <k n="Latitude" t="spb"/>
    <k n="Longitude" t="spb"/>
    <k n="UniqueName" t="spb"/>
    <k n="Description" t="spb"/>
    <k n="Country/region" t="spb"/>
    <k n="Admin Division 2 (County/district/other)" t="spb"/>
  </s>
  <s>
    <k n="Area" t="spb"/>
    <k n="Name" t="spb"/>
    <k n="Latitude" t="spb"/>
    <k n="Longitude" t="spb"/>
    <k n="Population" t="spb"/>
    <k n="UniqueName" t="spb"/>
    <k n="Description" t="spb"/>
    <k n="Country/region"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TC_centri_2" displayName="NTC_centri_2" ref="A2:AP76">
  <autoFilter ref="A2:AP76" xr:uid="{00000000-0009-0000-0100-000001000000}">
    <filterColumn colId="37">
      <filters blank="1">
        <filter val="Da"/>
      </filters>
    </filterColumn>
  </autoFilter>
  <sortState xmlns:xlrd2="http://schemas.microsoft.com/office/spreadsheetml/2017/richdata2" ref="A4:AM74">
    <sortCondition ref="A2:A76"/>
  </sortState>
  <tableColumns count="42">
    <tableColumn id="1" xr3:uid="{00000000-0010-0000-0000-000001000000}" name="Grad"/>
    <tableColumn id="2" xr3:uid="{00000000-0010-0000-0000-000002000000}" name="Nivo NTC centra"/>
    <tableColumn id="3" xr3:uid="{00000000-0010-0000-0000-000003000000}" name="Država"/>
    <tableColumn id="4" xr3:uid="{00000000-0010-0000-0000-000004000000}" name="Koordinator"/>
    <tableColumn id="5" xr3:uid="{00000000-0010-0000-0000-000005000000}" name="e-mail (lični NTCucenje)"/>
    <tableColumn id="6" xr3:uid="{00000000-0010-0000-0000-000006000000}" name="e-mail (grad NTCucenje)"/>
    <tableColumn id="7" xr3:uid="{00000000-0010-0000-0000-000007000000}" name="e-mail (dodatni)"/>
    <tableColumn id="8" xr3:uid="{00000000-0010-0000-0000-000008000000}" name="Broj telefona"/>
    <tableColumn id="9" xr3:uid="{00000000-0010-0000-0000-000009000000}" name="Tekući broj dece (poslednji presek)"/>
    <tableColumn id="10" xr3:uid="{00000000-0010-0000-0000-00000A000000}" name="Presek stanja broja dece -1"/>
    <tableColumn id="11" xr3:uid="{00000000-0010-0000-0000-00000B000000}" name="Presek stanja broja dece -2"/>
    <tableColumn id="12" xr3:uid="{00000000-0010-0000-0000-00000C000000}" name="Presek stanja broja dece -3"/>
    <tableColumn id="13" xr3:uid="{00000000-0010-0000-0000-00000D000000}" name="Lokacije radionica"/>
    <tableColumn id="14" xr3:uid="{00000000-0010-0000-0000-00000E000000}" name="Cena radionica"/>
    <tableColumn id="15" xr3:uid="{00000000-0010-0000-0000-00000F000000}" name="Trenutni procenat dece"/>
    <tableColumn id="16" xr3:uid="{00000000-0010-0000-0000-000010000000}" name="Bodovi na osnovu ukupnog broja dece"/>
    <tableColumn id="17" xr3:uid="{00000000-0010-0000-0000-000011000000}" name="Rast broja dece u procentima u prethodnih godinu dana"/>
    <tableColumn id="18" xr3:uid="{00000000-0010-0000-0000-000012000000}" name="Bodovi na osnovu rasta broja dece"/>
    <tableColumn id="19" xr3:uid="{00000000-0010-0000-0000-000013000000}" name="Marketing"/>
    <tableColumn id="20" xr3:uid="{00000000-0010-0000-0000-000014000000}" name="Ažurnost"/>
    <tableColumn id="21" xr3:uid="{00000000-0010-0000-0000-000015000000}" name="Kvalitet"/>
    <tableColumn id="22" xr3:uid="{00000000-0010-0000-0000-000016000000}" name="Broj dece iz centra na kampu"/>
    <tableColumn id="23" xr3:uid="{00000000-0010-0000-0000-000017000000}" name="Suma bodova centra"/>
    <tableColumn id="24" xr3:uid="{00000000-0010-0000-0000-000018000000}" name="Napomena"/>
    <tableColumn id="25" xr3:uid="{00000000-0010-0000-0000-000019000000}" name="Društvene mreže povezane sa ntcucenje nalogom"/>
    <tableColumn id="26" xr3:uid="{00000000-0010-0000-0000-00001A000000}" name="Broj dece na kraju školske godine 2023."/>
    <tableColumn id="27" xr3:uid="{00000000-0010-0000-0000-00001B000000}" name="Broj dece na kraju školske godine 2024."/>
    <tableColumn id="28" xr3:uid="{00000000-0010-0000-0000-00001C000000}" name="Broj dece na kraju školske godine 2025."/>
    <tableColumn id="29" xr3:uid="{00000000-0010-0000-0000-00001D000000}" name="Firma"/>
    <tableColumn id="30" xr3:uid="{00000000-0010-0000-0000-00001E000000}" name="Obračun"/>
    <tableColumn id="31" xr3:uid="{00000000-0010-0000-0000-00001F000000}" name="Osoba sa NTC sertifikatom"/>
    <tableColumn id="32" xr3:uid="{00000000-0010-0000-0000-000020000000}" name="Start rada centra"/>
    <tableColumn id="33" xr3:uid="{00000000-0010-0000-0000-000021000000}" name="Broj stanovnika grada/mesta"/>
    <tableColumn id="34" xr3:uid="{00000000-0010-0000-0000-000022000000}" name="Firma (ugovor) na koju se potpisuje stručna podrška"/>
    <tableColumn id="35" xr3:uid="{00000000-0010-0000-0000-000023000000}" name="Ugovor o stručnoj podršci"/>
    <tableColumn id="36" xr3:uid="{00000000-0010-0000-0000-000024000000}" name="Ugovor o autorizaciji"/>
    <tableColumn id="37" xr3:uid="{00000000-0010-0000-0000-000025000000}" name="Broj ugovora"/>
    <tableColumn id="38" xr3:uid="{00000000-0010-0000-0000-000026000000}" name="Aktivan da/ne"/>
    <tableColumn id="39" xr3:uid="{00000000-0010-0000-0000-000027000000}" name="Iskorišćen gratis seminar"/>
    <tableColumn id="40" xr3:uid="{F3B87C1F-3BD4-4DF5-9D88-27174D3301D0}" name="Grad2"/>
    <tableColumn id="41" xr3:uid="{7F14AEFC-2825-4001-8F74-B3A2DD61C97C}" name="Latitude" dataDxfId="1">
      <calculatedColumnFormula array="1">_FV(NTC_centri_2[[#This Row],[Grad2]],"Latitude")</calculatedColumnFormula>
    </tableColumn>
    <tableColumn id="44" xr3:uid="{CF06E1A0-969A-45BE-94EB-C528F4546818}" name="Longitude" dataDxfId="0">
      <calculatedColumnFormula array="1">_FV(NTC_centri_2[[#This Row],[Grad2]],"Longitude")</calculatedColumnFormula>
    </tableColumn>
  </tableColumns>
  <tableStyleInfo name="NTC centri 25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TC_centri" displayName="NTC_centri" ref="A2:AK63">
  <autoFilter ref="A2:AK63" xr:uid="{00000000-0009-0000-0100-000002000000}">
    <filterColumn colId="36">
      <filters blank="1">
        <filter val="Da"/>
      </filters>
    </filterColumn>
  </autoFilter>
  <tableColumns count="37">
    <tableColumn id="1" xr3:uid="{00000000-0010-0000-0100-000001000000}" name="Grad"/>
    <tableColumn id="2" xr3:uid="{00000000-0010-0000-0100-000002000000}" name="Nivo NTC centra"/>
    <tableColumn id="3" xr3:uid="{00000000-0010-0000-0100-000003000000}" name="Država"/>
    <tableColumn id="4" xr3:uid="{00000000-0010-0000-0100-000004000000}" name="Koordinator"/>
    <tableColumn id="5" xr3:uid="{00000000-0010-0000-0100-000005000000}" name="e-mail (lični NTCucenje)"/>
    <tableColumn id="6" xr3:uid="{00000000-0010-0000-0100-000006000000}" name="e-mail (grad NTCucenje)"/>
    <tableColumn id="7" xr3:uid="{00000000-0010-0000-0100-000007000000}" name="e-mail (dodatni)"/>
    <tableColumn id="8" xr3:uid="{00000000-0010-0000-0100-000008000000}" name="Broj telefona"/>
    <tableColumn id="9" xr3:uid="{00000000-0010-0000-0100-000009000000}" name="6"/>
    <tableColumn id="10" xr3:uid="{00000000-0010-0000-0100-00000A000000}" name="Broj dece na startu tekuće školske godine (novembar)"/>
    <tableColumn id="11" xr3:uid="{00000000-0010-0000-0100-00000B000000}" name="Broj dece na polugodištu tekuće školske godine (februar)"/>
    <tableColumn id="12" xr3:uid="{00000000-0010-0000-0100-00000C000000}" name="Tekući broj dece (poslednji presek)"/>
    <tableColumn id="13" xr3:uid="{00000000-0010-0000-0100-00000D000000}" name="Presek stanja broja dece -1"/>
    <tableColumn id="14" xr3:uid="{00000000-0010-0000-0100-00000E000000}" name="Presek stanja broja dece -2"/>
    <tableColumn id="15" xr3:uid="{00000000-0010-0000-0100-00000F000000}" name="Presek stanja broja dece -3"/>
    <tableColumn id="16" xr3:uid="{00000000-0010-0000-0100-000010000000}" name="Lokacije radionica"/>
    <tableColumn id="17" xr3:uid="{00000000-0010-0000-0100-000011000000}" name="Cena radionica"/>
    <tableColumn id="18" xr3:uid="{00000000-0010-0000-0100-000012000000}" name="Trenutni procenat dece"/>
    <tableColumn id="19" xr3:uid="{00000000-0010-0000-0100-000013000000}" name="Bodovi na osnovu ukupnog broja dece"/>
    <tableColumn id="20" xr3:uid="{00000000-0010-0000-0100-000014000000}" name="Rast broja dece u procentima u prethodnih godinu dana"/>
    <tableColumn id="21" xr3:uid="{00000000-0010-0000-0100-000015000000}" name="Bodovi na osnovu rasta broja dece"/>
    <tableColumn id="22" xr3:uid="{00000000-0010-0000-0100-000016000000}" name="Marketing"/>
    <tableColumn id="23" xr3:uid="{00000000-0010-0000-0100-000017000000}" name="Ažurnost"/>
    <tableColumn id="24" xr3:uid="{00000000-0010-0000-0100-000018000000}" name="Kvalitet"/>
    <tableColumn id="25" xr3:uid="{00000000-0010-0000-0100-000019000000}" name="Broj dece iz centra na kampu"/>
    <tableColumn id="26" xr3:uid="{00000000-0010-0000-0100-00001A000000}" name="Suma bodova centra"/>
    <tableColumn id="27" xr3:uid="{00000000-0010-0000-0100-00001B000000}" name="Napomena"/>
    <tableColumn id="28" xr3:uid="{00000000-0010-0000-0100-00001C000000}" name="Društvene mreže povezane sa ntcucenje nalogom"/>
    <tableColumn id="29" xr3:uid="{00000000-0010-0000-0100-00001D000000}" name="Broj dece na kraju školske godine 2023."/>
    <tableColumn id="30" xr3:uid="{00000000-0010-0000-0100-00001E000000}" name="Broj dece na kraju školske godine 2024."/>
    <tableColumn id="31" xr3:uid="{00000000-0010-0000-0100-00001F000000}" name="Firma"/>
    <tableColumn id="32" xr3:uid="{00000000-0010-0000-0100-000020000000}" name="Obračun"/>
    <tableColumn id="33" xr3:uid="{00000000-0010-0000-0100-000021000000}" name="Start rada centra"/>
    <tableColumn id="34" xr3:uid="{00000000-0010-0000-0100-000022000000}" name="Broj stanovnika "/>
    <tableColumn id="35" xr3:uid="{00000000-0010-0000-0100-000023000000}" name="Ugovor o stručnoj podršci"/>
    <tableColumn id="36" xr3:uid="{00000000-0010-0000-0100-000024000000}" name="Ugovor o autorizaciji"/>
    <tableColumn id="37" xr3:uid="{00000000-0010-0000-0100-000025000000}" name="Aktivan da/ne"/>
  </tableColumns>
  <tableStyleInfo name="NTC centri 2425-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ica1" displayName="Tablica1" ref="A1:J22">
  <tableColumns count="10">
    <tableColumn id="1" xr3:uid="{00000000-0010-0000-0200-000001000000}" name="Rb"/>
    <tableColumn id="2" xr3:uid="{00000000-0010-0000-0200-000002000000}" name="Ime i prezime"/>
    <tableColumn id="3" xr3:uid="{00000000-0010-0000-0200-000003000000}" name="Mail"/>
    <tableColumn id="4" xr3:uid="{00000000-0010-0000-0200-000004000000}" name="Država"/>
    <tableColumn id="5" xr3:uid="{00000000-0010-0000-0200-000005000000}" name="Grad"/>
    <tableColumn id="6" xr3:uid="{00000000-0010-0000-0200-000006000000}" name="Status centra (aktivan/probni ciklus/sekcija/zatvoren centar/na obuci)"/>
    <tableColumn id="7" xr3:uid="{00000000-0010-0000-0200-000007000000}" name="Napomena"/>
    <tableColumn id="8" xr3:uid="{00000000-0010-0000-0200-000008000000}" name="Popunjen upitnik"/>
    <tableColumn id="9" xr3:uid="{00000000-0010-0000-0200-000009000000}" name="Prvi online sastanak prisustvao"/>
    <tableColumn id="10" xr3:uid="{00000000-0010-0000-0200-00000A000000}" name="Drugi online sastanak prisustvao"/>
  </tableColumns>
  <tableStyleInfo name="Zainteresovani za centre - spec-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mailto:tajnistvo@privatna.net"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hyperlink" Target="mailto:jelena.chz@gmail.com" TargetMode="External"/><Relationship Id="rId2" Type="http://schemas.openxmlformats.org/officeDocument/2006/relationships/hyperlink" Target="mailto:angelika.pavlovic@ntcucenje.com" TargetMode="External"/><Relationship Id="rId1" Type="http://schemas.openxmlformats.org/officeDocument/2006/relationships/hyperlink" Target="mailto:andrijanaantonijevic2@gmail.com" TargetMode="External"/><Relationship Id="rId4" Type="http://schemas.openxmlformats.org/officeDocument/2006/relationships/hyperlink" Target="mailto:drcic.lahorka@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zeljka.d10@gmail.com" TargetMode="External"/><Relationship Id="rId13" Type="http://schemas.openxmlformats.org/officeDocument/2006/relationships/hyperlink" Target="mailto:andjela.ljig@gmail.com" TargetMode="External"/><Relationship Id="rId18" Type="http://schemas.openxmlformats.org/officeDocument/2006/relationships/hyperlink" Target="mailto:radena.loncar@beska.edu.rs" TargetMode="External"/><Relationship Id="rId3" Type="http://schemas.openxmlformats.org/officeDocument/2006/relationships/hyperlink" Target="mailto:milos.pecanin@yahoo.com" TargetMode="External"/><Relationship Id="rId21" Type="http://schemas.openxmlformats.org/officeDocument/2006/relationships/hyperlink" Target="mailto:dianohn@gmail.com" TargetMode="External"/><Relationship Id="rId7" Type="http://schemas.openxmlformats.org/officeDocument/2006/relationships/hyperlink" Target="mailto:tanjaotasevic05@gmail.com" TargetMode="External"/><Relationship Id="rId12" Type="http://schemas.openxmlformats.org/officeDocument/2006/relationships/hyperlink" Target="mailto:ivanavmirkov@gmail.com" TargetMode="External"/><Relationship Id="rId17" Type="http://schemas.openxmlformats.org/officeDocument/2006/relationships/hyperlink" Target="mailto:ivanavmirkov@gmail.com" TargetMode="External"/><Relationship Id="rId2" Type="http://schemas.openxmlformats.org/officeDocument/2006/relationships/hyperlink" Target="mailto:maja.propadovic@gmail.com" TargetMode="External"/><Relationship Id="rId16" Type="http://schemas.openxmlformats.org/officeDocument/2006/relationships/hyperlink" Target="mailto:josipovic.martina@gmail.com" TargetMode="External"/><Relationship Id="rId20" Type="http://schemas.openxmlformats.org/officeDocument/2006/relationships/hyperlink" Target="mailto:sonja.jovanovska.cid@gmail.com" TargetMode="External"/><Relationship Id="rId1" Type="http://schemas.openxmlformats.org/officeDocument/2006/relationships/hyperlink" Target="mailto:andjelarajovic01@gmail.com" TargetMode="External"/><Relationship Id="rId6" Type="http://schemas.openxmlformats.org/officeDocument/2006/relationships/hyperlink" Target="mailto:savictt@yahoo.com" TargetMode="External"/><Relationship Id="rId11" Type="http://schemas.openxmlformats.org/officeDocument/2006/relationships/hyperlink" Target="mailto:drcic.lahorka@gmail.com" TargetMode="External"/><Relationship Id="rId5" Type="http://schemas.openxmlformats.org/officeDocument/2006/relationships/hyperlink" Target="mailto:andrijanaantonijevic2@gmail.com" TargetMode="External"/><Relationship Id="rId15" Type="http://schemas.openxmlformats.org/officeDocument/2006/relationships/hyperlink" Target="mailto:milena.milojevic@hotmail.com" TargetMode="External"/><Relationship Id="rId10" Type="http://schemas.openxmlformats.org/officeDocument/2006/relationships/hyperlink" Target="mailto:jelena.chz@gmail.com" TargetMode="External"/><Relationship Id="rId19" Type="http://schemas.openxmlformats.org/officeDocument/2006/relationships/hyperlink" Target="mailto:mirjanazdravkovic92@gmail.com" TargetMode="External"/><Relationship Id="rId4" Type="http://schemas.openxmlformats.org/officeDocument/2006/relationships/hyperlink" Target="mailto:nebojsasekulic.81@gmail.com" TargetMode="External"/><Relationship Id="rId9" Type="http://schemas.openxmlformats.org/officeDocument/2006/relationships/hyperlink" Target="mailto:vesnajevesna@gmail.com" TargetMode="External"/><Relationship Id="rId14" Type="http://schemas.openxmlformats.org/officeDocument/2006/relationships/hyperlink" Target="mailto:lajaviedisa@yahoo.com" TargetMode="External"/><Relationship Id="rId22"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hyperlink" Target="https://docs.google.com/document/d/1ILM7TvfKOwhXWQk02rJFOOA3NayrTLg0_k8dnp35u4E/edit?usp=sharing" TargetMode="External"/><Relationship Id="rId2" Type="http://schemas.openxmlformats.org/officeDocument/2006/relationships/hyperlink" Target="https://docs.google.com/document/d/1qf4B6YqW-4_iXZ8IKxmo_7isOWu49oyJW5kuIdXkc2Y/edit?usp=sharing" TargetMode="External"/><Relationship Id="rId1" Type="http://schemas.openxmlformats.org/officeDocument/2006/relationships/hyperlink" Target="https://docs.google.com/document/d/1cF1_SRNWuAwQPOTyG5FNgTMHfUIp6WaZmDcGYdPhWDs/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T1010"/>
  <sheetViews>
    <sheetView tabSelected="1" zoomScale="58" workbookViewId="0">
      <pane xSplit="1" ySplit="2" topLeftCell="AE57" activePane="bottomRight" state="frozen"/>
      <selection pane="topRight" activeCell="B1" sqref="B1"/>
      <selection pane="bottomLeft" activeCell="A3" sqref="A3"/>
      <selection pane="bottomRight" activeCell="AY73" sqref="AY73"/>
    </sheetView>
  </sheetViews>
  <sheetFormatPr defaultColWidth="12.6640625" defaultRowHeight="15.75" customHeight="1"/>
  <cols>
    <col min="1" max="1" width="19" customWidth="1"/>
    <col min="2" max="2" width="12.21875" customWidth="1"/>
    <col min="3" max="3" width="18.21875" customWidth="1"/>
    <col min="4" max="4" width="28.44140625" customWidth="1"/>
    <col min="5" max="5" width="39.6640625" customWidth="1"/>
    <col min="6" max="6" width="35.44140625" customWidth="1"/>
    <col min="7" max="7" width="34.33203125" customWidth="1"/>
    <col min="8" max="8" width="21.44140625" customWidth="1"/>
    <col min="9" max="9" width="23.6640625" customWidth="1"/>
    <col min="10" max="10" width="21.109375" customWidth="1"/>
    <col min="11" max="11" width="18.21875" customWidth="1"/>
    <col min="12" max="12" width="19.6640625" customWidth="1"/>
    <col min="13" max="13" width="35.77734375" customWidth="1"/>
    <col min="14" max="14" width="18.88671875" customWidth="1"/>
    <col min="15" max="15" width="17.21875" customWidth="1"/>
    <col min="16" max="16" width="20.77734375" customWidth="1"/>
    <col min="17" max="17" width="30" customWidth="1"/>
    <col min="18" max="18" width="19.6640625" customWidth="1"/>
    <col min="19" max="19" width="14.6640625" customWidth="1"/>
    <col min="20" max="20" width="13.6640625" customWidth="1"/>
    <col min="21" max="21" width="12.21875" customWidth="1"/>
    <col min="22" max="22" width="16.33203125" customWidth="1"/>
    <col min="23" max="23" width="13.77734375" customWidth="1"/>
    <col min="24" max="24" width="27.33203125" customWidth="1"/>
    <col min="25" max="25" width="20.33203125" customWidth="1"/>
    <col min="26" max="27" width="19.6640625" customWidth="1"/>
    <col min="28" max="28" width="20.33203125" customWidth="1"/>
    <col min="29" max="29" width="30.6640625" customWidth="1"/>
    <col min="30" max="30" width="13.6640625" customWidth="1"/>
    <col min="31" max="32" width="20.6640625" customWidth="1"/>
    <col min="33" max="33" width="22.6640625" customWidth="1"/>
    <col min="34" max="34" width="19.88671875" customWidth="1"/>
    <col min="35" max="35" width="16.77734375" customWidth="1"/>
    <col min="36" max="37" width="16.6640625" customWidth="1"/>
    <col min="38" max="38" width="15" customWidth="1"/>
    <col min="39" max="39" width="18.77734375" customWidth="1"/>
    <col min="42" max="42" width="12.6640625" customWidth="1"/>
  </cols>
  <sheetData>
    <row r="1" spans="1:46" ht="15">
      <c r="A1" s="1"/>
      <c r="B1" s="2"/>
      <c r="C1" s="1"/>
      <c r="D1" s="1"/>
      <c r="E1" s="1"/>
      <c r="F1" s="1"/>
      <c r="G1" s="1"/>
      <c r="H1" s="3"/>
      <c r="I1" s="1"/>
      <c r="J1" s="1"/>
      <c r="K1" s="1"/>
      <c r="L1" s="1"/>
      <c r="M1" s="1"/>
      <c r="N1" s="1"/>
      <c r="O1" s="1"/>
      <c r="P1" s="1"/>
      <c r="Q1" s="1"/>
      <c r="R1" s="1"/>
      <c r="S1" s="1"/>
      <c r="T1" s="1"/>
      <c r="U1" s="1"/>
      <c r="V1" s="1"/>
      <c r="W1" s="1"/>
      <c r="X1" s="1"/>
      <c r="Y1" s="1"/>
      <c r="Z1" s="1"/>
      <c r="AA1" s="1"/>
      <c r="AB1" s="1"/>
      <c r="AC1" s="1"/>
      <c r="AD1" s="1"/>
      <c r="AE1" s="1"/>
      <c r="AF1" s="1"/>
      <c r="AG1" s="1"/>
      <c r="AH1" s="1"/>
      <c r="AI1" s="2"/>
      <c r="AJ1" s="2"/>
      <c r="AK1" s="2"/>
      <c r="AL1" s="1"/>
      <c r="AM1" s="1"/>
      <c r="AN1" s="2"/>
      <c r="AO1" s="2"/>
      <c r="AP1" s="2"/>
      <c r="AQ1" s="2"/>
      <c r="AR1" s="2"/>
      <c r="AS1" s="2"/>
      <c r="AT1" s="2"/>
    </row>
    <row r="2" spans="1:46" ht="61.5" customHeight="1">
      <c r="A2" s="4" t="s">
        <v>0</v>
      </c>
      <c r="B2" s="1" t="s">
        <v>1</v>
      </c>
      <c r="C2" s="4" t="s">
        <v>2</v>
      </c>
      <c r="D2" s="4" t="s">
        <v>3</v>
      </c>
      <c r="E2" s="4" t="s">
        <v>4</v>
      </c>
      <c r="F2" s="4" t="s">
        <v>5</v>
      </c>
      <c r="G2" s="4" t="s">
        <v>6</v>
      </c>
      <c r="H2" s="5"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6" t="s">
        <v>29</v>
      </c>
      <c r="AE2" s="1" t="s">
        <v>30</v>
      </c>
      <c r="AF2" s="1" t="s">
        <v>31</v>
      </c>
      <c r="AG2" s="1" t="s">
        <v>32</v>
      </c>
      <c r="AH2" s="1" t="s">
        <v>33</v>
      </c>
      <c r="AI2" s="1" t="s">
        <v>34</v>
      </c>
      <c r="AJ2" s="1" t="s">
        <v>35</v>
      </c>
      <c r="AK2" s="3" t="s">
        <v>36</v>
      </c>
      <c r="AL2" s="1" t="s">
        <v>37</v>
      </c>
      <c r="AM2" s="1" t="s">
        <v>38</v>
      </c>
      <c r="AN2" s="4" t="s">
        <v>1382</v>
      </c>
      <c r="AO2" s="2" t="s">
        <v>1368</v>
      </c>
      <c r="AP2" s="2" t="s">
        <v>1369</v>
      </c>
      <c r="AQ2" s="2"/>
      <c r="AR2" s="2"/>
    </row>
    <row r="3" spans="1:46" ht="22.5" customHeight="1">
      <c r="A3" s="7" t="s">
        <v>39</v>
      </c>
      <c r="B3" s="7" t="str">
        <f>IF(W3&lt;4, "⚙️",IF(AND(W3&gt;3, W3&lt;7), "🥈",IF(AND(W3&gt;6, W3&lt;9), "🏆",IF(W3&gt;8, "💎",0))))</f>
        <v>⚙️</v>
      </c>
      <c r="C3" s="4" t="s">
        <v>40</v>
      </c>
      <c r="D3" s="7" t="s">
        <v>41</v>
      </c>
      <c r="E3" s="7" t="s">
        <v>42</v>
      </c>
      <c r="F3" s="7" t="s">
        <v>43</v>
      </c>
      <c r="G3" s="8"/>
      <c r="H3" s="8" t="s">
        <v>44</v>
      </c>
      <c r="I3" s="7">
        <v>1</v>
      </c>
      <c r="J3" s="7">
        <v>35</v>
      </c>
      <c r="K3" s="7"/>
      <c r="L3" s="7">
        <v>1</v>
      </c>
      <c r="M3" s="9"/>
      <c r="N3" s="7"/>
      <c r="O3" s="10">
        <f t="shared" ref="O3" si="0">I3/(AG3*0.0951)</f>
        <v>2.1317858955331964E-4</v>
      </c>
      <c r="P3" s="7">
        <f t="shared" ref="P3:P76" si="1">IF(O3&lt;0.01,0,IF(O3&gt;0.03,3,2))</f>
        <v>0</v>
      </c>
      <c r="Q3" s="11">
        <f t="shared" ref="Q3" si="2">(I3-L3)/L3</f>
        <v>0</v>
      </c>
      <c r="R3" s="7">
        <f t="shared" ref="R3:R76" si="3">IF(Q3&lt;0,0,IF(Q3&gt;0.1,2,1))</f>
        <v>1</v>
      </c>
      <c r="S3" s="7">
        <v>0</v>
      </c>
      <c r="T3" s="7">
        <v>0</v>
      </c>
      <c r="U3" s="7">
        <v>0</v>
      </c>
      <c r="V3" s="7">
        <v>0</v>
      </c>
      <c r="W3" s="7">
        <f t="shared" ref="W3" si="4">IFERROR(P3+R3+S3+T3+U3+V3,0)</f>
        <v>1</v>
      </c>
      <c r="X3" s="7"/>
      <c r="Y3" s="12" t="s">
        <v>45</v>
      </c>
      <c r="Z3" s="7"/>
      <c r="AA3" s="7"/>
      <c r="AB3" s="7"/>
      <c r="AC3" s="7"/>
      <c r="AD3" s="7"/>
      <c r="AE3" s="7"/>
      <c r="AF3" s="7"/>
      <c r="AG3" s="13">
        <v>49326</v>
      </c>
      <c r="AH3" s="7"/>
      <c r="AI3" s="7"/>
      <c r="AJ3" s="7"/>
      <c r="AK3" s="7"/>
      <c r="AL3" s="7" t="s">
        <v>45</v>
      </c>
      <c r="AM3" s="14"/>
      <c r="AN3" s="15"/>
      <c r="AO3" s="15" t="e" cm="1" vm="1">
        <f t="array" ref="AO3">_FV(NTC_centri_2[[#This Row],[Grad2]],"Latitude")</f>
        <v>#VALUE!</v>
      </c>
      <c r="AP3" s="15" t="e" cm="1" vm="2">
        <f t="array" ref="AP3">_FV(NTC_centri_2[[#This Row],[Grad2]],"Longitude")</f>
        <v>#VALUE!</v>
      </c>
      <c r="AQ3" s="15"/>
      <c r="AR3" s="15"/>
    </row>
    <row r="4" spans="1:46" ht="22.5" customHeight="1">
      <c r="A4" s="4" t="s">
        <v>201</v>
      </c>
      <c r="B4" s="7" t="str">
        <f t="shared" ref="B4:B45" si="5">IFERROR(IF(W4&lt;1, "⚠️",IF(AND(W4&gt;0, W4&lt;4), "⚙️",IF(AND(W4&gt;3, W4&lt;7), "🥈",IF(AND(W4&gt;6, W4&lt;9), "🏆",IF(W4&gt;8, "💎",0))))), "⚠️")</f>
        <v>🥈</v>
      </c>
      <c r="C4" s="4" t="s">
        <v>40</v>
      </c>
      <c r="D4" s="4" t="s">
        <v>202</v>
      </c>
      <c r="E4" s="4" t="s">
        <v>203</v>
      </c>
      <c r="F4" s="4" t="s">
        <v>204</v>
      </c>
      <c r="G4" s="8" t="s">
        <v>205</v>
      </c>
      <c r="H4" s="8" t="s">
        <v>206</v>
      </c>
      <c r="I4" s="7">
        <v>56</v>
      </c>
      <c r="J4" s="7">
        <v>59</v>
      </c>
      <c r="K4" s="7"/>
      <c r="L4" s="7">
        <v>41</v>
      </c>
      <c r="M4" s="16" t="s">
        <v>207</v>
      </c>
      <c r="N4" s="17">
        <v>3500</v>
      </c>
      <c r="O4" s="10">
        <f>I4/(AG4*0.0951)</f>
        <v>8.4125582248552721E-3</v>
      </c>
      <c r="P4" s="7">
        <f t="shared" ref="P4:P35" si="6">IF(O4&lt;0.01,0,IF(O4&gt;0.03,3,2))</f>
        <v>0</v>
      </c>
      <c r="Q4" s="11">
        <f>(I4-L4)/L4</f>
        <v>0.36585365853658536</v>
      </c>
      <c r="R4" s="7">
        <f t="shared" ref="R4:R35" si="7">IF(Q4&lt;0,0,IF(Q4&gt;0.1,2,1))</f>
        <v>2</v>
      </c>
      <c r="S4" s="7">
        <v>0</v>
      </c>
      <c r="T4" s="7">
        <v>1</v>
      </c>
      <c r="U4" s="7">
        <v>1</v>
      </c>
      <c r="V4" s="7">
        <v>0</v>
      </c>
      <c r="W4" s="7">
        <f t="shared" ref="W4:W45" si="8">IFERROR(P4+R4+S4+T4+U4+V4,0)</f>
        <v>4</v>
      </c>
      <c r="X4" s="7"/>
      <c r="Y4" s="7" t="s">
        <v>45</v>
      </c>
      <c r="Z4" s="7">
        <v>43</v>
      </c>
      <c r="AA4" s="7">
        <v>41</v>
      </c>
      <c r="AB4" s="7">
        <v>56</v>
      </c>
      <c r="AC4" s="7" t="s">
        <v>208</v>
      </c>
      <c r="AD4" s="7" t="s">
        <v>53</v>
      </c>
      <c r="AE4" s="35"/>
      <c r="AF4" s="7"/>
      <c r="AG4" s="17">
        <v>69997</v>
      </c>
      <c r="AH4" s="7" t="s">
        <v>96</v>
      </c>
      <c r="AI4" s="7"/>
      <c r="AJ4" s="7" t="s">
        <v>57</v>
      </c>
      <c r="AK4" s="7" t="s">
        <v>209</v>
      </c>
      <c r="AL4" s="7" t="s">
        <v>57</v>
      </c>
      <c r="AM4" s="7" t="s">
        <v>88</v>
      </c>
      <c r="AN4" s="4" t="s">
        <v>201</v>
      </c>
      <c r="AO4" s="15">
        <v>43.856299999999997</v>
      </c>
      <c r="AP4" s="15">
        <v>19.841699999999999</v>
      </c>
      <c r="AQ4" s="15"/>
      <c r="AR4" s="15"/>
    </row>
    <row r="5" spans="1:46" ht="22.5" customHeight="1">
      <c r="A5" s="7" t="s">
        <v>1007</v>
      </c>
      <c r="B5" s="7" t="str">
        <f t="shared" si="5"/>
        <v>🥈</v>
      </c>
      <c r="C5" s="4" t="s">
        <v>40</v>
      </c>
      <c r="D5" s="7" t="s">
        <v>99</v>
      </c>
      <c r="E5" s="7" t="s">
        <v>100</v>
      </c>
      <c r="F5" s="7" t="s">
        <v>101</v>
      </c>
      <c r="G5" s="8"/>
      <c r="H5" s="8" t="s">
        <v>102</v>
      </c>
      <c r="I5" s="7">
        <v>38</v>
      </c>
      <c r="J5" s="7">
        <v>36</v>
      </c>
      <c r="K5" s="7"/>
      <c r="L5" s="7">
        <v>41</v>
      </c>
      <c r="M5" s="19" t="s">
        <v>183</v>
      </c>
      <c r="N5" s="17">
        <v>3200</v>
      </c>
      <c r="O5" s="10">
        <f>I5/(AG5*0.0951)</f>
        <v>1.8105912824127407E-2</v>
      </c>
      <c r="P5" s="7">
        <f t="shared" si="6"/>
        <v>2</v>
      </c>
      <c r="Q5" s="11">
        <f>(I5-L5)/L5</f>
        <v>-7.3170731707317069E-2</v>
      </c>
      <c r="R5" s="7">
        <f t="shared" si="7"/>
        <v>0</v>
      </c>
      <c r="S5" s="7">
        <v>0</v>
      </c>
      <c r="T5" s="7">
        <v>1</v>
      </c>
      <c r="U5" s="7">
        <v>1</v>
      </c>
      <c r="V5" s="7">
        <v>0</v>
      </c>
      <c r="W5" s="7">
        <f t="shared" si="8"/>
        <v>4</v>
      </c>
      <c r="X5" s="7"/>
      <c r="Y5" s="7" t="s">
        <v>57</v>
      </c>
      <c r="Z5" s="7"/>
      <c r="AA5" s="7">
        <v>41</v>
      </c>
      <c r="AB5" s="7">
        <v>36</v>
      </c>
      <c r="AC5" s="7" t="s">
        <v>104</v>
      </c>
      <c r="AD5" s="7" t="s">
        <v>53</v>
      </c>
      <c r="AE5" s="18" t="s">
        <v>99</v>
      </c>
      <c r="AF5" s="7" t="s">
        <v>86</v>
      </c>
      <c r="AG5" s="452">
        <v>22069</v>
      </c>
      <c r="AH5" s="7" t="s">
        <v>68</v>
      </c>
      <c r="AI5" s="7" t="s">
        <v>57</v>
      </c>
      <c r="AJ5" s="7" t="s">
        <v>57</v>
      </c>
      <c r="AK5" s="7" t="s">
        <v>106</v>
      </c>
      <c r="AL5" s="7" t="s">
        <v>57</v>
      </c>
      <c r="AM5" s="7" t="s">
        <v>59</v>
      </c>
      <c r="AN5" s="7" t="e" vm="3">
        <v>#VALUE!</v>
      </c>
      <c r="AO5" s="15" cm="1" vm="4">
        <f t="array" aca="1" ref="AO5" ca="1">_FV(NTC_centri_2[[#This Row],[Grad2]],"Latitude")</f>
        <v>43.455277777778001</v>
      </c>
      <c r="AP5" s="15" cm="1" vm="5">
        <f t="array" aca="1" ref="AP5" ca="1">_FV(NTC_centri_2[[#This Row],[Grad2]],"Longitude")</f>
        <v>21.051388888889001</v>
      </c>
      <c r="AQ5" s="15"/>
      <c r="AR5" s="15"/>
    </row>
    <row r="6" spans="1:46" ht="22.5" customHeight="1">
      <c r="A6" s="7" t="s">
        <v>193</v>
      </c>
      <c r="B6" s="7" t="str">
        <f t="shared" si="5"/>
        <v>🥈</v>
      </c>
      <c r="C6" s="4" t="s">
        <v>40</v>
      </c>
      <c r="D6" s="4" t="s">
        <v>194</v>
      </c>
      <c r="E6" s="7" t="s">
        <v>195</v>
      </c>
      <c r="F6" s="4" t="s">
        <v>196</v>
      </c>
      <c r="G6" s="8"/>
      <c r="H6" s="8" t="s">
        <v>197</v>
      </c>
      <c r="I6" s="7">
        <v>60</v>
      </c>
      <c r="J6" s="7">
        <v>64</v>
      </c>
      <c r="K6" s="7"/>
      <c r="L6" s="7">
        <v>73</v>
      </c>
      <c r="M6" s="27" t="s">
        <v>198</v>
      </c>
      <c r="N6" s="17">
        <v>3200</v>
      </c>
      <c r="O6" s="10">
        <f>I6/(AG6*0.0951)</f>
        <v>1.5277497796411911E-2</v>
      </c>
      <c r="P6" s="7">
        <f t="shared" si="6"/>
        <v>2</v>
      </c>
      <c r="Q6" s="11">
        <f>(I6-L6)/L6</f>
        <v>-0.17808219178082191</v>
      </c>
      <c r="R6" s="7">
        <f t="shared" si="7"/>
        <v>0</v>
      </c>
      <c r="S6" s="7">
        <v>0</v>
      </c>
      <c r="T6" s="7">
        <v>1</v>
      </c>
      <c r="U6" s="7">
        <v>1</v>
      </c>
      <c r="V6" s="7">
        <v>0</v>
      </c>
      <c r="W6" s="7">
        <f t="shared" si="8"/>
        <v>4</v>
      </c>
      <c r="X6" s="7"/>
      <c r="Y6" s="7" t="s">
        <v>57</v>
      </c>
      <c r="Z6" s="7">
        <v>49</v>
      </c>
      <c r="AA6" s="7">
        <v>73</v>
      </c>
      <c r="AB6" s="7">
        <v>58</v>
      </c>
      <c r="AC6" s="7" t="s">
        <v>199</v>
      </c>
      <c r="AD6" s="7" t="s">
        <v>53</v>
      </c>
      <c r="AE6" s="18" t="s">
        <v>194</v>
      </c>
      <c r="AF6" s="7" t="s">
        <v>180</v>
      </c>
      <c r="AG6" s="17">
        <v>41297</v>
      </c>
      <c r="AH6" s="7" t="s">
        <v>96</v>
      </c>
      <c r="AI6" s="7" t="s">
        <v>57</v>
      </c>
      <c r="AJ6" s="7" t="s">
        <v>57</v>
      </c>
      <c r="AK6" s="7" t="s">
        <v>200</v>
      </c>
      <c r="AL6" s="7" t="s">
        <v>57</v>
      </c>
      <c r="AM6" s="7" t="s">
        <v>88</v>
      </c>
      <c r="AN6" s="7" t="e" vm="6">
        <v>#VALUE!</v>
      </c>
      <c r="AO6" s="15" cm="1" vm="7">
        <f t="array" aca="1" ref="AO6" ca="1">_FV(NTC_centri_2[[#This Row],[Grad2]],"Latitude")</f>
        <v>44.304166666667001</v>
      </c>
      <c r="AP6" s="15" cm="1" vm="8">
        <f t="array" aca="1" ref="AP6" ca="1">_FV(NTC_centri_2[[#This Row],[Grad2]],"Longitude")</f>
        <v>20.556111111111001</v>
      </c>
      <c r="AQ6" s="15"/>
      <c r="AR6" s="15"/>
    </row>
    <row r="7" spans="1:46" ht="21" customHeight="1">
      <c r="A7" s="7" t="s">
        <v>469</v>
      </c>
      <c r="B7" s="7" t="str">
        <f t="shared" si="5"/>
        <v>⚠️</v>
      </c>
      <c r="C7" s="4" t="s">
        <v>470</v>
      </c>
      <c r="D7" s="4" t="s">
        <v>471</v>
      </c>
      <c r="E7" s="7" t="s">
        <v>472</v>
      </c>
      <c r="F7" s="7" t="s">
        <v>473</v>
      </c>
      <c r="G7" s="8" t="s">
        <v>474</v>
      </c>
      <c r="H7" s="8" t="s">
        <v>475</v>
      </c>
      <c r="I7" s="7">
        <v>118</v>
      </c>
      <c r="J7" s="55">
        <v>120</v>
      </c>
      <c r="K7" s="42"/>
      <c r="L7" s="55"/>
      <c r="M7" s="19" t="s">
        <v>476</v>
      </c>
      <c r="N7" s="7"/>
      <c r="O7" s="10" t="e">
        <f>J7/(AG7*0.0951)</f>
        <v>#DIV/0!</v>
      </c>
      <c r="P7" s="7" t="e">
        <f t="shared" si="6"/>
        <v>#DIV/0!</v>
      </c>
      <c r="Q7" s="11" t="e">
        <f>(J7-#REF!)/#REF!</f>
        <v>#REF!</v>
      </c>
      <c r="R7" s="7" t="e">
        <f t="shared" si="7"/>
        <v>#REF!</v>
      </c>
      <c r="S7" s="7">
        <v>0</v>
      </c>
      <c r="T7" s="7">
        <v>1</v>
      </c>
      <c r="U7" s="7">
        <v>1</v>
      </c>
      <c r="V7" s="7">
        <v>0</v>
      </c>
      <c r="W7" s="7">
        <f t="shared" si="8"/>
        <v>0</v>
      </c>
      <c r="X7" s="7"/>
      <c r="Y7" s="7" t="s">
        <v>45</v>
      </c>
      <c r="Z7" s="7"/>
      <c r="AA7" s="7">
        <v>128</v>
      </c>
      <c r="AB7" s="7"/>
      <c r="AC7" s="7"/>
      <c r="AD7" s="7" t="s">
        <v>376</v>
      </c>
      <c r="AE7" s="59"/>
      <c r="AF7" s="59" t="s">
        <v>477</v>
      </c>
      <c r="AG7" s="13"/>
      <c r="AH7" s="7"/>
      <c r="AI7" s="7"/>
      <c r="AJ7" s="7" t="s">
        <v>57</v>
      </c>
      <c r="AK7" s="7"/>
      <c r="AL7" s="7" t="s">
        <v>57</v>
      </c>
      <c r="AM7" s="7"/>
      <c r="AN7" s="7" t="e" vm="9">
        <v>#VALUE!</v>
      </c>
      <c r="AO7" s="15" cm="1" vm="10">
        <f t="array" aca="1" ref="AO7" ca="1">_FV(NTC_centri_2[[#This Row],[Grad2]],"Latitude")</f>
        <v>44.772500000000001</v>
      </c>
      <c r="AP7" s="15" cm="1" vm="11">
        <f t="array" aca="1" ref="AP7" ca="1">_FV(NTC_centri_2[[#This Row],[Grad2]],"Longitude")</f>
        <v>17.192499999999999</v>
      </c>
      <c r="AQ7" s="15"/>
      <c r="AR7" s="15"/>
    </row>
    <row r="8" spans="1:46" ht="22.5" customHeight="1">
      <c r="A8" s="7" t="s">
        <v>1370</v>
      </c>
      <c r="B8" s="7" t="str">
        <f t="shared" si="5"/>
        <v>⚠️</v>
      </c>
      <c r="C8" s="7" t="s">
        <v>433</v>
      </c>
      <c r="D8" s="7" t="s">
        <v>434</v>
      </c>
      <c r="E8" s="7" t="s">
        <v>435</v>
      </c>
      <c r="F8" s="7" t="s">
        <v>436</v>
      </c>
      <c r="G8" s="8" t="s">
        <v>437</v>
      </c>
      <c r="H8" s="8" t="s">
        <v>438</v>
      </c>
      <c r="I8" s="7">
        <v>41</v>
      </c>
      <c r="J8" s="55">
        <v>50</v>
      </c>
      <c r="K8" s="55"/>
      <c r="L8" s="55">
        <v>49</v>
      </c>
      <c r="M8" s="22" t="s">
        <v>439</v>
      </c>
      <c r="N8" s="7"/>
      <c r="O8" s="10" t="e">
        <f>J8/(AG8*0.0951)</f>
        <v>#DIV/0!</v>
      </c>
      <c r="P8" s="7" t="e">
        <f t="shared" si="6"/>
        <v>#DIV/0!</v>
      </c>
      <c r="Q8" s="11" t="e">
        <f>(J8-#REF!)/#REF!</f>
        <v>#REF!</v>
      </c>
      <c r="R8" s="7" t="e">
        <f t="shared" si="7"/>
        <v>#REF!</v>
      </c>
      <c r="S8" s="7">
        <v>0</v>
      </c>
      <c r="T8" s="7">
        <v>1</v>
      </c>
      <c r="U8" s="7">
        <v>1</v>
      </c>
      <c r="V8" s="7">
        <v>0</v>
      </c>
      <c r="W8" s="7">
        <f t="shared" si="8"/>
        <v>0</v>
      </c>
      <c r="X8" s="7"/>
      <c r="Y8" s="7" t="s">
        <v>45</v>
      </c>
      <c r="Z8" s="7"/>
      <c r="AA8" s="7">
        <v>64</v>
      </c>
      <c r="AB8" s="7"/>
      <c r="AC8" s="7"/>
      <c r="AD8" s="7" t="s">
        <v>376</v>
      </c>
      <c r="AE8" s="7"/>
      <c r="AF8" s="7"/>
      <c r="AG8" s="13"/>
      <c r="AH8" s="7"/>
      <c r="AI8" s="7"/>
      <c r="AJ8" s="7"/>
      <c r="AK8" s="7"/>
      <c r="AL8" s="7" t="s">
        <v>57</v>
      </c>
      <c r="AM8" s="7"/>
      <c r="AN8" s="7" t="e" vm="12">
        <v>#VALUE!</v>
      </c>
      <c r="AO8" s="15" cm="1" vm="13">
        <f t="array" aca="1" ref="AO8" ca="1">_FV(NTC_centri_2[[#This Row],[Grad2]],"Latitude")</f>
        <v>42.1</v>
      </c>
      <c r="AP8" s="15" cm="1" vm="14">
        <f t="array" aca="1" ref="AP8" ca="1">_FV(NTC_centri_2[[#This Row],[Grad2]],"Longitude")</f>
        <v>19.100000000000001</v>
      </c>
      <c r="AQ8" s="15"/>
      <c r="AR8" s="15"/>
    </row>
    <row r="9" spans="1:46" ht="22.5" customHeight="1">
      <c r="A9" s="4" t="s">
        <v>176</v>
      </c>
      <c r="B9" s="7" t="str">
        <f t="shared" si="5"/>
        <v>🥈</v>
      </c>
      <c r="C9" s="4" t="s">
        <v>40</v>
      </c>
      <c r="D9" s="4" t="s">
        <v>47</v>
      </c>
      <c r="E9" s="4" t="s">
        <v>48</v>
      </c>
      <c r="F9" s="4" t="s">
        <v>177</v>
      </c>
      <c r="G9" s="8"/>
      <c r="H9" s="8" t="s">
        <v>50</v>
      </c>
      <c r="I9" s="7">
        <v>87</v>
      </c>
      <c r="J9" s="7">
        <v>89</v>
      </c>
      <c r="K9" s="7"/>
      <c r="L9" s="7">
        <v>110</v>
      </c>
      <c r="M9" s="27" t="s">
        <v>178</v>
      </c>
      <c r="N9" s="17">
        <v>4000</v>
      </c>
      <c r="O9" s="10">
        <f>I9/(AG9*0.0951)</f>
        <v>2.6906661718315086E-2</v>
      </c>
      <c r="P9" s="7">
        <f t="shared" si="6"/>
        <v>2</v>
      </c>
      <c r="Q9" s="11">
        <f>(I9-L9)/L9</f>
        <v>-0.20909090909090908</v>
      </c>
      <c r="R9" s="7">
        <f t="shared" si="7"/>
        <v>0</v>
      </c>
      <c r="S9" s="7">
        <v>0</v>
      </c>
      <c r="T9" s="7">
        <v>1</v>
      </c>
      <c r="U9" s="7">
        <v>1</v>
      </c>
      <c r="V9" s="7">
        <v>0</v>
      </c>
      <c r="W9" s="7">
        <f t="shared" si="8"/>
        <v>4</v>
      </c>
      <c r="X9" s="7"/>
      <c r="Y9" s="7" t="s">
        <v>45</v>
      </c>
      <c r="Z9" s="7"/>
      <c r="AA9" s="7">
        <v>110</v>
      </c>
      <c r="AB9" s="7">
        <v>86</v>
      </c>
      <c r="AC9" s="7" t="s">
        <v>179</v>
      </c>
      <c r="AD9" s="7" t="s">
        <v>53</v>
      </c>
      <c r="AE9" s="20" t="s">
        <v>54</v>
      </c>
      <c r="AF9" s="7" t="s">
        <v>180</v>
      </c>
      <c r="AG9" s="17">
        <v>34000</v>
      </c>
      <c r="AH9" s="7" t="s">
        <v>56</v>
      </c>
      <c r="AI9" s="7"/>
      <c r="AJ9" s="7" t="s">
        <v>57</v>
      </c>
      <c r="AK9" s="7" t="s">
        <v>181</v>
      </c>
      <c r="AL9" s="7" t="s">
        <v>57</v>
      </c>
      <c r="AM9" s="7" t="s">
        <v>59</v>
      </c>
      <c r="AN9" s="4" t="e" vm="15">
        <v>#VALUE!</v>
      </c>
      <c r="AO9" s="15" cm="1" vm="16">
        <f t="array" aca="1" ref="AO9" ca="1">_FV(NTC_centri_2[[#This Row],[Grad2]],"Latitude")</f>
        <v>44.902222219999999</v>
      </c>
      <c r="AP9" s="15" cm="1" vm="17">
        <f t="array" aca="1" ref="AP9" ca="1">_FV(NTC_centri_2[[#This Row],[Grad2]],"Longitude")</f>
        <v>20.281388889999999</v>
      </c>
      <c r="AQ9" s="15"/>
      <c r="AR9" s="15"/>
    </row>
    <row r="10" spans="1:46" ht="22.5" customHeight="1">
      <c r="A10" s="4" t="s">
        <v>259</v>
      </c>
      <c r="B10" s="7" t="str">
        <f t="shared" si="5"/>
        <v>⚙️</v>
      </c>
      <c r="C10" s="4" t="s">
        <v>40</v>
      </c>
      <c r="D10" s="4" t="s">
        <v>147</v>
      </c>
      <c r="E10" s="4" t="s">
        <v>148</v>
      </c>
      <c r="F10" s="4" t="s">
        <v>149</v>
      </c>
      <c r="G10" s="8"/>
      <c r="H10" s="8" t="s">
        <v>260</v>
      </c>
      <c r="I10" s="7">
        <v>23</v>
      </c>
      <c r="J10" s="7">
        <v>27</v>
      </c>
      <c r="K10" s="7"/>
      <c r="L10" s="7">
        <v>36</v>
      </c>
      <c r="M10" s="31" t="s">
        <v>261</v>
      </c>
      <c r="N10" s="17">
        <v>3300</v>
      </c>
      <c r="O10" s="10">
        <f>I10/(AG10*0.0951)</f>
        <v>7.8827510019576288E-3</v>
      </c>
      <c r="P10" s="7">
        <f t="shared" si="6"/>
        <v>0</v>
      </c>
      <c r="Q10" s="11">
        <f>(I10-L10)/L10</f>
        <v>-0.3611111111111111</v>
      </c>
      <c r="R10" s="7">
        <f t="shared" si="7"/>
        <v>0</v>
      </c>
      <c r="S10" s="7">
        <v>0</v>
      </c>
      <c r="T10" s="7">
        <v>1</v>
      </c>
      <c r="U10" s="7">
        <v>1</v>
      </c>
      <c r="V10" s="7">
        <v>0</v>
      </c>
      <c r="W10" s="7">
        <f t="shared" si="8"/>
        <v>2</v>
      </c>
      <c r="X10" s="7"/>
      <c r="Y10" s="7" t="s">
        <v>57</v>
      </c>
      <c r="Z10" s="7"/>
      <c r="AA10" s="7">
        <v>36</v>
      </c>
      <c r="AB10" s="7">
        <v>22</v>
      </c>
      <c r="AC10" s="7" t="s">
        <v>262</v>
      </c>
      <c r="AD10" s="7" t="s">
        <v>53</v>
      </c>
      <c r="AE10" s="18" t="s">
        <v>147</v>
      </c>
      <c r="AF10" s="7" t="s">
        <v>86</v>
      </c>
      <c r="AG10" s="17">
        <v>30681</v>
      </c>
      <c r="AH10" s="7" t="s">
        <v>68</v>
      </c>
      <c r="AI10" s="7" t="s">
        <v>57</v>
      </c>
      <c r="AJ10" s="7" t="s">
        <v>57</v>
      </c>
      <c r="AK10" s="7" t="s">
        <v>154</v>
      </c>
      <c r="AL10" s="7" t="s">
        <v>57</v>
      </c>
      <c r="AM10" s="7" t="s">
        <v>59</v>
      </c>
      <c r="AN10" s="4" t="e" vm="18">
        <v>#VALUE!</v>
      </c>
      <c r="AO10" s="15" cm="1" vm="19">
        <f t="array" aca="1" ref="AO10" ca="1">_FV(NTC_centri_2[[#This Row],[Grad2]],"Latitude")</f>
        <v>45.616666666667001</v>
      </c>
      <c r="AP10" s="15" cm="1" vm="20">
        <f t="array" aca="1" ref="AP10" ca="1">_FV(NTC_centri_2[[#This Row],[Grad2]],"Longitude")</f>
        <v>20.033333333333001</v>
      </c>
      <c r="AQ10" s="15"/>
      <c r="AR10" s="15"/>
    </row>
    <row r="11" spans="1:46" ht="22.5" customHeight="1">
      <c r="A11" s="4" t="s">
        <v>1371</v>
      </c>
      <c r="B11" s="7" t="str">
        <f t="shared" si="5"/>
        <v>🥈</v>
      </c>
      <c r="C11" s="4" t="s">
        <v>40</v>
      </c>
      <c r="D11" s="4" t="s">
        <v>228</v>
      </c>
      <c r="E11" s="4" t="s">
        <v>229</v>
      </c>
      <c r="F11" s="4" t="s">
        <v>230</v>
      </c>
      <c r="G11" s="8" t="s">
        <v>231</v>
      </c>
      <c r="H11" s="8" t="s">
        <v>232</v>
      </c>
      <c r="I11" s="7">
        <v>1141</v>
      </c>
      <c r="J11" s="7">
        <v>1122</v>
      </c>
      <c r="K11" s="7"/>
      <c r="L11" s="7">
        <v>1100</v>
      </c>
      <c r="M11" s="447"/>
      <c r="N11" s="7"/>
      <c r="O11" s="10">
        <f>I11/(AG11*0.0951)</f>
        <v>7.3707206698814809E-3</v>
      </c>
      <c r="P11" s="7">
        <f t="shared" si="6"/>
        <v>0</v>
      </c>
      <c r="Q11" s="11">
        <f>(I11-L11)/L11</f>
        <v>3.727272727272727E-2</v>
      </c>
      <c r="R11" s="7">
        <f t="shared" si="7"/>
        <v>1</v>
      </c>
      <c r="S11" s="7">
        <v>1</v>
      </c>
      <c r="T11" s="7">
        <v>1</v>
      </c>
      <c r="U11" s="7">
        <v>1</v>
      </c>
      <c r="V11" s="7">
        <v>0</v>
      </c>
      <c r="W11" s="7">
        <f t="shared" si="8"/>
        <v>4</v>
      </c>
      <c r="X11" s="7"/>
      <c r="Y11" s="7" t="s">
        <v>45</v>
      </c>
      <c r="Z11" s="7"/>
      <c r="AA11" s="7"/>
      <c r="AB11" s="7"/>
      <c r="AC11" s="7"/>
      <c r="AD11" s="7" t="s">
        <v>174</v>
      </c>
      <c r="AE11" s="25"/>
      <c r="AF11" s="7" t="s">
        <v>175</v>
      </c>
      <c r="AG11" s="17">
        <f>1681405-AG13-AG21</f>
        <v>1627778</v>
      </c>
      <c r="AH11" s="7"/>
      <c r="AI11" s="7"/>
      <c r="AJ11" s="7"/>
      <c r="AK11" s="7"/>
      <c r="AL11" s="7" t="s">
        <v>57</v>
      </c>
      <c r="AM11" s="7"/>
      <c r="AN11" s="4" t="e" vm="21">
        <v>#VALUE!</v>
      </c>
      <c r="AO11" s="15">
        <v>44.817599999999999</v>
      </c>
      <c r="AP11" s="15">
        <v>20.4633</v>
      </c>
      <c r="AQ11" s="15"/>
      <c r="AR11" s="15"/>
    </row>
    <row r="12" spans="1:46" ht="22.5" customHeight="1">
      <c r="A12" s="55" t="s">
        <v>478</v>
      </c>
      <c r="B12" s="7" t="str">
        <f t="shared" si="5"/>
        <v>⚠️</v>
      </c>
      <c r="C12" s="60" t="s">
        <v>470</v>
      </c>
      <c r="D12" s="55" t="s">
        <v>479</v>
      </c>
      <c r="E12" s="61" t="s">
        <v>480</v>
      </c>
      <c r="F12" s="55" t="s">
        <v>481</v>
      </c>
      <c r="G12" s="442" t="s">
        <v>482</v>
      </c>
      <c r="H12" s="8" t="s">
        <v>483</v>
      </c>
      <c r="I12" s="7"/>
      <c r="J12" s="55">
        <v>29</v>
      </c>
      <c r="K12" s="42"/>
      <c r="L12" s="55">
        <v>25</v>
      </c>
      <c r="M12" s="451" t="s">
        <v>484</v>
      </c>
      <c r="N12" s="7">
        <v>60</v>
      </c>
      <c r="O12" s="10" t="e">
        <f>J12/(AG12*0.0951)</f>
        <v>#DIV/0!</v>
      </c>
      <c r="P12" s="7" t="e">
        <f t="shared" si="6"/>
        <v>#DIV/0!</v>
      </c>
      <c r="Q12" s="11" t="e">
        <f>(J12-#REF!)/#REF!</f>
        <v>#REF!</v>
      </c>
      <c r="R12" s="7" t="e">
        <f t="shared" si="7"/>
        <v>#REF!</v>
      </c>
      <c r="S12" s="7">
        <v>0</v>
      </c>
      <c r="T12" s="7">
        <v>1</v>
      </c>
      <c r="U12" s="7">
        <v>1</v>
      </c>
      <c r="V12" s="7">
        <v>0</v>
      </c>
      <c r="W12" s="7">
        <f t="shared" si="8"/>
        <v>0</v>
      </c>
      <c r="X12" s="7"/>
      <c r="Y12" s="7" t="s">
        <v>45</v>
      </c>
      <c r="Z12" s="7"/>
      <c r="AA12" s="7">
        <v>40</v>
      </c>
      <c r="AB12" s="7"/>
      <c r="AC12" s="7"/>
      <c r="AD12" s="7" t="s">
        <v>53</v>
      </c>
      <c r="AE12" s="7"/>
      <c r="AF12" s="7"/>
      <c r="AG12" s="13"/>
      <c r="AH12" s="7"/>
      <c r="AI12" s="7"/>
      <c r="AJ12" s="7" t="s">
        <v>57</v>
      </c>
      <c r="AK12" s="7"/>
      <c r="AL12" s="7" t="s">
        <v>57</v>
      </c>
      <c r="AM12" s="7"/>
      <c r="AN12" s="55" t="e" vm="22">
        <v>#VALUE!</v>
      </c>
      <c r="AO12" s="15" cm="1" vm="23">
        <f t="array" aca="1" ref="AO12" ca="1">_FV(NTC_centri_2[[#This Row],[Grad2]],"Latitude")</f>
        <v>44.756666666666703</v>
      </c>
      <c r="AP12" s="15" cm="1" vm="24">
        <f t="array" aca="1" ref="AP12" ca="1">_FV(NTC_centri_2[[#This Row],[Grad2]],"Longitude")</f>
        <v>19.2155555555556</v>
      </c>
      <c r="AQ12" s="15"/>
      <c r="AR12" s="15"/>
    </row>
    <row r="13" spans="1:46" ht="22.5" customHeight="1">
      <c r="A13" s="4" t="s">
        <v>358</v>
      </c>
      <c r="B13" s="7" t="str">
        <f t="shared" si="5"/>
        <v>⚠️</v>
      </c>
      <c r="C13" s="4" t="s">
        <v>40</v>
      </c>
      <c r="D13" s="4" t="s">
        <v>359</v>
      </c>
      <c r="E13" s="4"/>
      <c r="F13" s="4"/>
      <c r="G13" s="443" t="s">
        <v>360</v>
      </c>
      <c r="H13" s="8" t="s">
        <v>361</v>
      </c>
      <c r="I13" s="12"/>
      <c r="J13" s="7">
        <v>1</v>
      </c>
      <c r="K13" s="7"/>
      <c r="L13" s="7"/>
      <c r="M13" s="19"/>
      <c r="N13" s="17"/>
      <c r="O13" s="10">
        <f>J13/(AG13*0.0951)</f>
        <v>1.0325262282312494E-3</v>
      </c>
      <c r="P13" s="7">
        <f t="shared" si="6"/>
        <v>0</v>
      </c>
      <c r="Q13" s="11" t="e">
        <f>(J13-#REF!)/#REF!</f>
        <v>#REF!</v>
      </c>
      <c r="R13" s="7" t="e">
        <f t="shared" si="7"/>
        <v>#REF!</v>
      </c>
      <c r="S13" s="7"/>
      <c r="T13" s="7"/>
      <c r="U13" s="7"/>
      <c r="V13" s="7"/>
      <c r="W13" s="7">
        <f t="shared" si="8"/>
        <v>0</v>
      </c>
      <c r="X13" s="7"/>
      <c r="Y13" s="7"/>
      <c r="Z13" s="7"/>
      <c r="AA13" s="7"/>
      <c r="AB13" s="7"/>
      <c r="AC13" s="45"/>
      <c r="AD13" s="7" t="s">
        <v>53</v>
      </c>
      <c r="AE13" s="35"/>
      <c r="AF13" s="7"/>
      <c r="AG13" s="43">
        <v>10184</v>
      </c>
      <c r="AH13" s="7" t="s">
        <v>96</v>
      </c>
      <c r="AI13" s="7"/>
      <c r="AJ13" s="7"/>
      <c r="AK13" s="7" t="s">
        <v>362</v>
      </c>
      <c r="AL13" s="7"/>
      <c r="AM13" s="7"/>
      <c r="AN13" s="4" t="e" vm="25">
        <v>#VALUE!</v>
      </c>
      <c r="AO13" s="15" cm="1" vm="26">
        <f t="array" aca="1" ref="AO13" ca="1">_FV(NTC_centri_2[[#This Row],[Grad2]],"Latitude")</f>
        <v>43.830300000000001</v>
      </c>
      <c r="AP13" s="15" cm="1" vm="27">
        <f t="array" aca="1" ref="AP13" ca="1">_FV(NTC_centri_2[[#This Row],[Grad2]],"Longitude")</f>
        <v>21.953099999999999</v>
      </c>
      <c r="AQ13" s="15"/>
      <c r="AR13" s="15"/>
    </row>
    <row r="14" spans="1:46" ht="22.5" customHeight="1">
      <c r="A14" s="4" t="s">
        <v>317</v>
      </c>
      <c r="B14" s="7" t="str">
        <f t="shared" si="5"/>
        <v>⚠️</v>
      </c>
      <c r="C14" s="4" t="s">
        <v>40</v>
      </c>
      <c r="D14" s="7" t="s">
        <v>80</v>
      </c>
      <c r="E14" s="7" t="s">
        <v>81</v>
      </c>
      <c r="F14" s="7" t="s">
        <v>318</v>
      </c>
      <c r="G14" s="32"/>
      <c r="H14" s="8" t="s">
        <v>83</v>
      </c>
      <c r="I14" s="12"/>
      <c r="J14" s="7">
        <v>1</v>
      </c>
      <c r="K14" s="7"/>
      <c r="L14" s="7"/>
      <c r="M14" s="38" t="s">
        <v>319</v>
      </c>
      <c r="N14" s="17">
        <v>4500</v>
      </c>
      <c r="O14" s="10">
        <f>J14/(AG14*0.0951)</f>
        <v>2.0275436944790104E-4</v>
      </c>
      <c r="P14" s="7">
        <f t="shared" si="6"/>
        <v>0</v>
      </c>
      <c r="Q14" s="11" t="e">
        <f>(J14-#REF!)/#REF!</f>
        <v>#REF!</v>
      </c>
      <c r="R14" s="7" t="e">
        <f t="shared" si="7"/>
        <v>#REF!</v>
      </c>
      <c r="S14" s="7"/>
      <c r="T14" s="7"/>
      <c r="U14" s="7"/>
      <c r="V14" s="7"/>
      <c r="W14" s="7">
        <f t="shared" si="8"/>
        <v>0</v>
      </c>
      <c r="X14" s="7"/>
      <c r="Y14" s="7" t="s">
        <v>45</v>
      </c>
      <c r="Z14" s="7"/>
      <c r="AA14" s="7"/>
      <c r="AB14" s="7"/>
      <c r="AC14" s="7" t="s">
        <v>224</v>
      </c>
      <c r="AD14" s="7" t="s">
        <v>53</v>
      </c>
      <c r="AE14" s="20" t="s">
        <v>80</v>
      </c>
      <c r="AF14" s="7" t="s">
        <v>320</v>
      </c>
      <c r="AG14" s="17">
        <v>51862</v>
      </c>
      <c r="AH14" s="7" t="s">
        <v>68</v>
      </c>
      <c r="AI14" s="7" t="s">
        <v>57</v>
      </c>
      <c r="AJ14" s="7" t="s">
        <v>57</v>
      </c>
      <c r="AK14" s="7" t="s">
        <v>226</v>
      </c>
      <c r="AL14" s="7" t="s">
        <v>57</v>
      </c>
      <c r="AM14" s="7" t="s">
        <v>59</v>
      </c>
      <c r="AN14" s="4" t="e" vm="28">
        <v>#VALUE!</v>
      </c>
      <c r="AO14" s="15" cm="1" vm="29">
        <f t="array" aca="1" ref="AO14" ca="1">_FV(NTC_centri_2[[#This Row],[Grad2]],"Latitude")</f>
        <v>44.866666666667001</v>
      </c>
      <c r="AP14" s="15" cm="1" vm="30">
        <f t="array" aca="1" ref="AP14" ca="1">_FV(NTC_centri_2[[#This Row],[Grad2]],"Longitude")</f>
        <v>20.466666666666999</v>
      </c>
      <c r="AQ14" s="15"/>
      <c r="AR14" s="15"/>
    </row>
    <row r="15" spans="1:46" ht="22.5" customHeight="1">
      <c r="A15" s="7" t="s">
        <v>1372</v>
      </c>
      <c r="B15" s="7" t="str">
        <f t="shared" si="5"/>
        <v>⚠️</v>
      </c>
      <c r="C15" s="4" t="s">
        <v>470</v>
      </c>
      <c r="D15" s="4" t="s">
        <v>505</v>
      </c>
      <c r="E15" s="7" t="s">
        <v>506</v>
      </c>
      <c r="F15" s="7" t="s">
        <v>507</v>
      </c>
      <c r="G15" s="8"/>
      <c r="H15" s="8" t="s">
        <v>508</v>
      </c>
      <c r="I15" s="7">
        <v>33</v>
      </c>
      <c r="J15" s="55">
        <v>1</v>
      </c>
      <c r="K15" s="71"/>
      <c r="L15" s="71"/>
      <c r="M15" s="31"/>
      <c r="N15" s="7">
        <v>60</v>
      </c>
      <c r="O15" s="10" t="e">
        <f>J15/(AG15*0.0951)</f>
        <v>#DIV/0!</v>
      </c>
      <c r="P15" s="7" t="e">
        <f t="shared" si="6"/>
        <v>#DIV/0!</v>
      </c>
      <c r="Q15" s="11" t="e">
        <f>J15/#REF!</f>
        <v>#REF!</v>
      </c>
      <c r="R15" s="7" t="e">
        <f t="shared" si="7"/>
        <v>#REF!</v>
      </c>
      <c r="S15" s="7"/>
      <c r="T15" s="7"/>
      <c r="U15" s="7"/>
      <c r="V15" s="7"/>
      <c r="W15" s="7">
        <f t="shared" si="8"/>
        <v>0</v>
      </c>
      <c r="X15" s="7"/>
      <c r="Y15" s="7"/>
      <c r="Z15" s="7"/>
      <c r="AA15" s="7">
        <v>1</v>
      </c>
      <c r="AB15" s="7"/>
      <c r="AC15" s="7"/>
      <c r="AD15" s="7" t="s">
        <v>53</v>
      </c>
      <c r="AE15" s="7"/>
      <c r="AF15" s="7" t="s">
        <v>320</v>
      </c>
      <c r="AG15" s="13"/>
      <c r="AH15" s="7"/>
      <c r="AI15" s="7"/>
      <c r="AJ15" s="7"/>
      <c r="AK15" s="7"/>
      <c r="AL15" s="7"/>
      <c r="AM15" s="7"/>
      <c r="AN15" s="7" t="e" vm="31">
        <v>#VALUE!</v>
      </c>
      <c r="AO15" s="15" cm="1" vm="32">
        <f t="array" aca="1" ref="AO15" ca="1">_FV(NTC_centri_2[[#This Row],[Grad2]],"Latitude")</f>
        <v>44.878333333333003</v>
      </c>
      <c r="AP15" s="15" cm="1" vm="33">
        <f t="array" aca="1" ref="AP15" ca="1">_FV(NTC_centri_2[[#This Row],[Grad2]],"Longitude")</f>
        <v>18.809166666667</v>
      </c>
      <c r="AQ15" s="15"/>
      <c r="AR15" s="15"/>
    </row>
    <row r="16" spans="1:46" ht="22.5" customHeight="1">
      <c r="A16" s="7" t="s">
        <v>98</v>
      </c>
      <c r="B16" s="7" t="str">
        <f t="shared" si="5"/>
        <v>🥈</v>
      </c>
      <c r="C16" s="4" t="s">
        <v>40</v>
      </c>
      <c r="D16" s="4" t="s">
        <v>99</v>
      </c>
      <c r="E16" s="7" t="s">
        <v>100</v>
      </c>
      <c r="F16" s="7" t="s">
        <v>101</v>
      </c>
      <c r="G16" s="8"/>
      <c r="H16" s="8" t="s">
        <v>102</v>
      </c>
      <c r="I16" s="7">
        <v>20</v>
      </c>
      <c r="J16" s="7">
        <v>22</v>
      </c>
      <c r="K16" s="7"/>
      <c r="L16" s="7">
        <v>1</v>
      </c>
      <c r="M16" s="23" t="s">
        <v>103</v>
      </c>
      <c r="N16" s="17">
        <v>3200</v>
      </c>
      <c r="O16" s="10">
        <f>I16/(AG16*0.0951)</f>
        <v>1.547042387569081E-2</v>
      </c>
      <c r="P16" s="7">
        <f t="shared" si="6"/>
        <v>2</v>
      </c>
      <c r="Q16" s="11">
        <f>(I16-L16)/L16</f>
        <v>19</v>
      </c>
      <c r="R16" s="7">
        <f t="shared" si="7"/>
        <v>2</v>
      </c>
      <c r="S16" s="7">
        <v>0</v>
      </c>
      <c r="T16" s="7">
        <v>1</v>
      </c>
      <c r="U16" s="7">
        <v>1</v>
      </c>
      <c r="V16" s="7">
        <v>0</v>
      </c>
      <c r="W16" s="7">
        <f t="shared" si="8"/>
        <v>6</v>
      </c>
      <c r="X16" s="7"/>
      <c r="Y16" s="7" t="s">
        <v>57</v>
      </c>
      <c r="Z16" s="7"/>
      <c r="AA16" s="7"/>
      <c r="AB16" s="7">
        <v>17</v>
      </c>
      <c r="AC16" s="7" t="s">
        <v>104</v>
      </c>
      <c r="AD16" s="7" t="s">
        <v>53</v>
      </c>
      <c r="AE16" s="20" t="s">
        <v>99</v>
      </c>
      <c r="AF16" s="7" t="s">
        <v>105</v>
      </c>
      <c r="AG16" s="17">
        <v>13594</v>
      </c>
      <c r="AH16" s="7" t="s">
        <v>68</v>
      </c>
      <c r="AI16" s="7" t="s">
        <v>57</v>
      </c>
      <c r="AJ16" s="7" t="s">
        <v>57</v>
      </c>
      <c r="AK16" s="7" t="s">
        <v>106</v>
      </c>
      <c r="AL16" s="7" t="s">
        <v>57</v>
      </c>
      <c r="AM16" s="7" t="s">
        <v>59</v>
      </c>
      <c r="AN16" s="7" t="e" vm="34">
        <v>#VALUE!</v>
      </c>
      <c r="AO16" s="15" cm="1" vm="35">
        <f t="array" aca="1" ref="AO16" ca="1">_FV(NTC_centri_2[[#This Row],[Grad2]],"Latitude")</f>
        <v>43.383611111111001</v>
      </c>
      <c r="AP16" s="15" cm="1" vm="36">
        <f t="array" aca="1" ref="AP16" ca="1">_FV(NTC_centri_2[[#This Row],[Grad2]],"Longitude")</f>
        <v>21.033611111111</v>
      </c>
      <c r="AQ16" s="15"/>
      <c r="AR16" s="15"/>
    </row>
    <row r="17" spans="1:44" ht="22.5" customHeight="1">
      <c r="A17" s="7" t="s">
        <v>440</v>
      </c>
      <c r="B17" s="7" t="str">
        <f t="shared" si="5"/>
        <v>⚠️</v>
      </c>
      <c r="C17" s="7" t="s">
        <v>433</v>
      </c>
      <c r="D17" s="7" t="s">
        <v>441</v>
      </c>
      <c r="E17" s="7" t="s">
        <v>442</v>
      </c>
      <c r="F17" s="7" t="s">
        <v>443</v>
      </c>
      <c r="G17" s="8" t="s">
        <v>444</v>
      </c>
      <c r="H17" s="8" t="s">
        <v>445</v>
      </c>
      <c r="I17" s="7">
        <v>52</v>
      </c>
      <c r="J17" s="55">
        <v>38</v>
      </c>
      <c r="K17" s="55"/>
      <c r="L17" s="55">
        <v>35</v>
      </c>
      <c r="M17" s="34" t="s">
        <v>446</v>
      </c>
      <c r="N17" s="7"/>
      <c r="O17" s="10" t="e">
        <f>J17/(AG17*0.0951)</f>
        <v>#DIV/0!</v>
      </c>
      <c r="P17" s="7" t="e">
        <f t="shared" si="6"/>
        <v>#DIV/0!</v>
      </c>
      <c r="Q17" s="11" t="e">
        <f>(J17-#REF!)/#REF!</f>
        <v>#REF!</v>
      </c>
      <c r="R17" s="7" t="e">
        <f t="shared" si="7"/>
        <v>#REF!</v>
      </c>
      <c r="S17" s="7">
        <v>0</v>
      </c>
      <c r="T17" s="7">
        <v>1</v>
      </c>
      <c r="U17" s="7">
        <v>1</v>
      </c>
      <c r="V17" s="7">
        <v>0</v>
      </c>
      <c r="W17" s="7">
        <f t="shared" si="8"/>
        <v>0</v>
      </c>
      <c r="X17" s="7"/>
      <c r="Y17" s="7" t="s">
        <v>45</v>
      </c>
      <c r="Z17" s="7"/>
      <c r="AA17" s="7">
        <v>40</v>
      </c>
      <c r="AB17" s="7"/>
      <c r="AC17" s="7"/>
      <c r="AD17" s="7" t="s">
        <v>376</v>
      </c>
      <c r="AE17" s="7"/>
      <c r="AF17" s="7" t="s">
        <v>447</v>
      </c>
      <c r="AG17" s="13"/>
      <c r="AH17" s="7"/>
      <c r="AI17" s="7"/>
      <c r="AJ17" s="7"/>
      <c r="AK17" s="7"/>
      <c r="AL17" s="7" t="s">
        <v>57</v>
      </c>
      <c r="AM17" s="7"/>
      <c r="AN17" s="7" t="e" vm="37">
        <v>#VALUE!</v>
      </c>
      <c r="AO17" s="15" cm="1" vm="38">
        <f t="array" aca="1" ref="AO17" ca="1">_FV(NTC_centri_2[[#This Row],[Grad2]],"Latitude")</f>
        <v>42.284722222222001</v>
      </c>
      <c r="AP17" s="15" cm="1" vm="39">
        <f t="array" aca="1" ref="AP17" ca="1">_FV(NTC_centri_2[[#This Row],[Grad2]],"Longitude")</f>
        <v>18.845277777778001</v>
      </c>
      <c r="AQ17" s="15"/>
      <c r="AR17" s="15"/>
    </row>
    <row r="18" spans="1:44" ht="22.5" customHeight="1">
      <c r="A18" s="4" t="s">
        <v>280</v>
      </c>
      <c r="B18" s="7" t="str">
        <f t="shared" si="5"/>
        <v>⚙️</v>
      </c>
      <c r="C18" s="4" t="s">
        <v>40</v>
      </c>
      <c r="D18" s="4" t="s">
        <v>281</v>
      </c>
      <c r="E18" s="7" t="s">
        <v>282</v>
      </c>
      <c r="F18" s="4" t="s">
        <v>283</v>
      </c>
      <c r="G18" s="4" t="s">
        <v>284</v>
      </c>
      <c r="H18" s="8" t="s">
        <v>285</v>
      </c>
      <c r="I18" s="7">
        <v>48</v>
      </c>
      <c r="J18" s="7">
        <v>43</v>
      </c>
      <c r="K18" s="7"/>
      <c r="L18" s="7">
        <v>55</v>
      </c>
      <c r="M18" s="27" t="s">
        <v>286</v>
      </c>
      <c r="N18" s="17">
        <v>3600</v>
      </c>
      <c r="O18" s="10">
        <f>I18/(AG18*0.0951)</f>
        <v>4.7791146952878292E-3</v>
      </c>
      <c r="P18" s="7">
        <f t="shared" si="6"/>
        <v>0</v>
      </c>
      <c r="Q18" s="11">
        <f>(I18-L18)/L18</f>
        <v>-0.12727272727272726</v>
      </c>
      <c r="R18" s="7">
        <f t="shared" si="7"/>
        <v>0</v>
      </c>
      <c r="S18" s="7">
        <v>0</v>
      </c>
      <c r="T18" s="7">
        <v>1</v>
      </c>
      <c r="U18" s="7">
        <v>1</v>
      </c>
      <c r="V18" s="7">
        <v>0</v>
      </c>
      <c r="W18" s="7">
        <f t="shared" si="8"/>
        <v>2</v>
      </c>
      <c r="X18" s="7"/>
      <c r="Y18" s="7" t="s">
        <v>57</v>
      </c>
      <c r="Z18" s="7">
        <v>29</v>
      </c>
      <c r="AA18" s="7">
        <v>55</v>
      </c>
      <c r="AB18" s="7">
        <v>42</v>
      </c>
      <c r="AC18" s="7" t="s">
        <v>287</v>
      </c>
      <c r="AD18" s="7" t="s">
        <v>53</v>
      </c>
      <c r="AE18" s="25"/>
      <c r="AF18" s="7"/>
      <c r="AG18" s="17">
        <v>105612</v>
      </c>
      <c r="AH18" s="7" t="s">
        <v>96</v>
      </c>
      <c r="AI18" s="7" t="s">
        <v>57</v>
      </c>
      <c r="AJ18" s="7" t="s">
        <v>57</v>
      </c>
      <c r="AK18" s="7" t="s">
        <v>288</v>
      </c>
      <c r="AL18" s="7" t="s">
        <v>57</v>
      </c>
      <c r="AM18" s="7" t="s">
        <v>59</v>
      </c>
      <c r="AN18" s="4" t="e" vm="40">
        <v>#VALUE!</v>
      </c>
      <c r="AO18" s="15" cm="1" vm="41">
        <f t="array" aca="1" ref="AO18" ca="1">_FV(NTC_centri_2[[#This Row],[Grad2]],"Latitude")</f>
        <v>43.891388888888997</v>
      </c>
      <c r="AP18" s="15" cm="1" vm="42">
        <f t="array" aca="1" ref="AP18" ca="1">_FV(NTC_centri_2[[#This Row],[Grad2]],"Longitude")</f>
        <v>20.349722222221999</v>
      </c>
      <c r="AQ18" s="15"/>
      <c r="AR18" s="15"/>
    </row>
    <row r="19" spans="1:44" ht="22.5" customHeight="1">
      <c r="A19" s="7" t="s">
        <v>1373</v>
      </c>
      <c r="B19" s="7" t="str">
        <f t="shared" si="5"/>
        <v>⚠️</v>
      </c>
      <c r="C19" s="4" t="s">
        <v>515</v>
      </c>
      <c r="D19" s="4" t="s">
        <v>516</v>
      </c>
      <c r="E19" s="7" t="s">
        <v>517</v>
      </c>
      <c r="F19" s="7" t="s">
        <v>518</v>
      </c>
      <c r="G19" s="7" t="s">
        <v>519</v>
      </c>
      <c r="H19" s="8">
        <f>12124705235</f>
        <v>12124705235</v>
      </c>
      <c r="I19" s="7">
        <v>40</v>
      </c>
      <c r="J19" s="55">
        <v>36</v>
      </c>
      <c r="K19" s="71"/>
      <c r="L19" s="71">
        <v>30</v>
      </c>
      <c r="M19" s="31"/>
      <c r="N19" s="7"/>
      <c r="O19" s="10" t="e">
        <f>J19/(AG19*0.0951)</f>
        <v>#DIV/0!</v>
      </c>
      <c r="P19" s="7" t="e">
        <f t="shared" si="6"/>
        <v>#DIV/0!</v>
      </c>
      <c r="Q19" s="11" t="e">
        <f>J19/#REF!</f>
        <v>#REF!</v>
      </c>
      <c r="R19" s="7" t="e">
        <f t="shared" si="7"/>
        <v>#REF!</v>
      </c>
      <c r="S19" s="7"/>
      <c r="T19" s="7"/>
      <c r="U19" s="7"/>
      <c r="V19" s="7"/>
      <c r="W19" s="7">
        <f t="shared" si="8"/>
        <v>0</v>
      </c>
      <c r="X19" s="7"/>
      <c r="Y19" s="7"/>
      <c r="Z19" s="7"/>
      <c r="AA19" s="7">
        <v>1</v>
      </c>
      <c r="AB19" s="7"/>
      <c r="AC19" s="7"/>
      <c r="AD19" s="7" t="s">
        <v>376</v>
      </c>
      <c r="AE19" s="7"/>
      <c r="AF19" s="7"/>
      <c r="AG19" s="13"/>
      <c r="AH19" s="7"/>
      <c r="AI19" s="7"/>
      <c r="AJ19" s="7"/>
      <c r="AK19" s="7"/>
      <c r="AL19" s="7"/>
      <c r="AM19" s="7"/>
      <c r="AN19" s="7" t="e" vm="43">
        <v>#VALUE!</v>
      </c>
      <c r="AO19" s="15" cm="1" vm="44">
        <f t="array" aca="1" ref="AO19" ca="1">_FV(NTC_centri_2[[#This Row],[Grad2]],"Latitude")</f>
        <v>41.850029999999997</v>
      </c>
      <c r="AP19" s="15" cm="1" vm="45">
        <f t="array" aca="1" ref="AP19" ca="1">_FV(NTC_centri_2[[#This Row],[Grad2]],"Longitude")</f>
        <v>-87.650049999999993</v>
      </c>
      <c r="AQ19" s="15"/>
      <c r="AR19" s="15"/>
    </row>
    <row r="20" spans="1:44" ht="22.5" customHeight="1">
      <c r="A20" s="4" t="s">
        <v>341</v>
      </c>
      <c r="B20" s="7" t="str">
        <f t="shared" si="5"/>
        <v>⚠️</v>
      </c>
      <c r="C20" s="4" t="s">
        <v>40</v>
      </c>
      <c r="D20" s="4" t="s">
        <v>342</v>
      </c>
      <c r="E20" s="4" t="s">
        <v>343</v>
      </c>
      <c r="F20" s="4" t="s">
        <v>344</v>
      </c>
      <c r="G20" s="8"/>
      <c r="H20" s="8" t="s">
        <v>345</v>
      </c>
      <c r="I20" s="12"/>
      <c r="J20" s="7">
        <v>1</v>
      </c>
      <c r="K20" s="7"/>
      <c r="L20" s="7"/>
      <c r="M20" s="38" t="s">
        <v>346</v>
      </c>
      <c r="N20" s="17">
        <v>3700</v>
      </c>
      <c r="O20" s="10">
        <f>J20/(AG20*0.0951)</f>
        <v>5.8095287891199139E-4</v>
      </c>
      <c r="P20" s="7">
        <f t="shared" si="6"/>
        <v>0</v>
      </c>
      <c r="Q20" s="11" t="e">
        <f>(J20-#REF!)/#REF!</f>
        <v>#REF!</v>
      </c>
      <c r="R20" s="7" t="e">
        <f t="shared" si="7"/>
        <v>#REF!</v>
      </c>
      <c r="S20" s="7"/>
      <c r="T20" s="7"/>
      <c r="U20" s="7"/>
      <c r="V20" s="7"/>
      <c r="W20" s="7">
        <f t="shared" si="8"/>
        <v>0</v>
      </c>
      <c r="X20" s="7"/>
      <c r="Y20" s="7" t="s">
        <v>45</v>
      </c>
      <c r="Z20" s="7"/>
      <c r="AA20" s="7"/>
      <c r="AB20" s="7"/>
      <c r="AC20" s="45" t="s">
        <v>347</v>
      </c>
      <c r="AD20" s="44" t="s">
        <v>53</v>
      </c>
      <c r="AE20" s="35" t="s">
        <v>348</v>
      </c>
      <c r="AF20" s="7" t="s">
        <v>320</v>
      </c>
      <c r="AG20" s="17">
        <v>18100</v>
      </c>
      <c r="AH20" s="7" t="s">
        <v>68</v>
      </c>
      <c r="AI20" s="7" t="s">
        <v>57</v>
      </c>
      <c r="AJ20" s="7" t="s">
        <v>57</v>
      </c>
      <c r="AK20" s="7" t="s">
        <v>349</v>
      </c>
      <c r="AL20" s="7" t="s">
        <v>57</v>
      </c>
      <c r="AM20" s="7" t="s">
        <v>88</v>
      </c>
      <c r="AN20" s="4" t="e" vm="46">
        <v>#VALUE!</v>
      </c>
      <c r="AO20" s="15" cm="1" vm="47">
        <f t="array" aca="1" ref="AO20" ca="1">_FV(NTC_centri_2[[#This Row],[Grad2]],"Latitude")</f>
        <v>45.233333333333</v>
      </c>
      <c r="AP20" s="15" cm="1" vm="48">
        <f t="array" aca="1" ref="AP20" ca="1">_FV(NTC_centri_2[[#This Row],[Grad2]],"Longitude")</f>
        <v>19.716666666666999</v>
      </c>
      <c r="AQ20" s="15"/>
      <c r="AR20" s="15"/>
    </row>
    <row r="21" spans="1:44" ht="22.5" customHeight="1">
      <c r="A21" s="4" t="s">
        <v>164</v>
      </c>
      <c r="B21" s="7" t="str">
        <f t="shared" si="5"/>
        <v>🥈</v>
      </c>
      <c r="C21" s="4" t="s">
        <v>40</v>
      </c>
      <c r="D21" s="4" t="s">
        <v>47</v>
      </c>
      <c r="E21" s="4" t="s">
        <v>48</v>
      </c>
      <c r="F21" s="4" t="s">
        <v>165</v>
      </c>
      <c r="G21" s="7"/>
      <c r="H21" s="8" t="s">
        <v>50</v>
      </c>
      <c r="I21" s="7">
        <v>66</v>
      </c>
      <c r="J21" s="7">
        <v>65</v>
      </c>
      <c r="K21" s="7"/>
      <c r="L21" s="7">
        <v>61</v>
      </c>
      <c r="M21" s="34" t="s">
        <v>166</v>
      </c>
      <c r="N21" s="17">
        <v>4000</v>
      </c>
      <c r="O21" s="10">
        <f>I21/(AG21*0.0951)</f>
        <v>1.5975100917253987E-2</v>
      </c>
      <c r="P21" s="7">
        <f t="shared" si="6"/>
        <v>2</v>
      </c>
      <c r="Q21" s="11">
        <f>(I21-L21)/L21</f>
        <v>8.1967213114754092E-2</v>
      </c>
      <c r="R21" s="7">
        <f t="shared" si="7"/>
        <v>1</v>
      </c>
      <c r="S21" s="7">
        <v>0</v>
      </c>
      <c r="T21" s="7">
        <v>1</v>
      </c>
      <c r="U21" s="7">
        <v>1</v>
      </c>
      <c r="V21" s="7">
        <v>0</v>
      </c>
      <c r="W21" s="7">
        <f t="shared" si="8"/>
        <v>5</v>
      </c>
      <c r="X21" s="7"/>
      <c r="Y21" s="7" t="s">
        <v>45</v>
      </c>
      <c r="Z21" s="7">
        <v>43</v>
      </c>
      <c r="AA21" s="7">
        <v>61</v>
      </c>
      <c r="AB21" s="7">
        <v>63</v>
      </c>
      <c r="AC21" s="7" t="s">
        <v>52</v>
      </c>
      <c r="AD21" s="7" t="s">
        <v>53</v>
      </c>
      <c r="AE21" s="35"/>
      <c r="AF21" s="7" t="s">
        <v>167</v>
      </c>
      <c r="AG21" s="17">
        <v>43443</v>
      </c>
      <c r="AH21" s="7" t="s">
        <v>56</v>
      </c>
      <c r="AI21" s="7" t="s">
        <v>57</v>
      </c>
      <c r="AJ21" s="7" t="s">
        <v>57</v>
      </c>
      <c r="AK21" s="7" t="s">
        <v>58</v>
      </c>
      <c r="AL21" s="7" t="s">
        <v>57</v>
      </c>
      <c r="AM21" s="7" t="s">
        <v>59</v>
      </c>
      <c r="AN21" s="4" t="e" vm="49">
        <v>#VALUE!</v>
      </c>
      <c r="AO21" s="15" cm="1" vm="50">
        <f t="array" aca="1" ref="AO21" ca="1">_FV(NTC_centri_2[[#This Row],[Grad2]],"Latitude")</f>
        <v>45.049166666666999</v>
      </c>
      <c r="AP21" s="15" cm="1" vm="51">
        <f t="array" aca="1" ref="AP21" ca="1">_FV(NTC_centri_2[[#This Row],[Grad2]],"Longitude")</f>
        <v>20.079166666667</v>
      </c>
      <c r="AQ21" s="15"/>
      <c r="AR21" s="15"/>
    </row>
    <row r="22" spans="1:44" ht="22.5" customHeight="1">
      <c r="A22" s="7" t="s">
        <v>509</v>
      </c>
      <c r="B22" s="7" t="str">
        <f t="shared" si="5"/>
        <v>⚠️</v>
      </c>
      <c r="C22" s="4" t="s">
        <v>470</v>
      </c>
      <c r="D22" s="4" t="s">
        <v>510</v>
      </c>
      <c r="E22" s="7" t="s">
        <v>511</v>
      </c>
      <c r="F22" s="7" t="s">
        <v>512</v>
      </c>
      <c r="G22" s="8" t="s">
        <v>513</v>
      </c>
      <c r="H22" s="8" t="s">
        <v>514</v>
      </c>
      <c r="I22" s="7">
        <v>29</v>
      </c>
      <c r="J22" s="55">
        <v>1</v>
      </c>
      <c r="K22" s="71"/>
      <c r="L22" s="71"/>
      <c r="M22" s="447"/>
      <c r="N22" s="7">
        <v>65</v>
      </c>
      <c r="O22" s="10" t="e">
        <f>J22/(AG22*0.0951)</f>
        <v>#DIV/0!</v>
      </c>
      <c r="P22" s="7" t="e">
        <f t="shared" si="6"/>
        <v>#DIV/0!</v>
      </c>
      <c r="Q22" s="11" t="e">
        <f>J22/#REF!</f>
        <v>#REF!</v>
      </c>
      <c r="R22" s="7" t="e">
        <f t="shared" si="7"/>
        <v>#REF!</v>
      </c>
      <c r="S22" s="7"/>
      <c r="T22" s="7"/>
      <c r="U22" s="7"/>
      <c r="V22" s="7"/>
      <c r="W22" s="7">
        <f t="shared" si="8"/>
        <v>0</v>
      </c>
      <c r="X22" s="7"/>
      <c r="Y22" s="7"/>
      <c r="Z22" s="7"/>
      <c r="AA22" s="7">
        <v>1</v>
      </c>
      <c r="AB22" s="7"/>
      <c r="AC22" s="7"/>
      <c r="AD22" s="7" t="s">
        <v>376</v>
      </c>
      <c r="AE22" s="7"/>
      <c r="AF22" s="7" t="s">
        <v>320</v>
      </c>
      <c r="AG22" s="13"/>
      <c r="AH22" s="7"/>
      <c r="AI22" s="7"/>
      <c r="AJ22" s="7"/>
      <c r="AK22" s="7"/>
      <c r="AL22" s="7"/>
      <c r="AM22" s="7"/>
      <c r="AN22" s="7" t="e" vm="52">
        <v>#VALUE!</v>
      </c>
      <c r="AO22" s="15" cm="1" vm="53">
        <f t="array" aca="1" ref="AO22" ca="1">_FV(NTC_centri_2[[#This Row],[Grad2]],"Latitude")</f>
        <v>43.826111111110997</v>
      </c>
      <c r="AP22" s="15" cm="1" vm="54">
        <f t="array" aca="1" ref="AP22" ca="1">_FV(NTC_centri_2[[#This Row],[Grad2]],"Longitude")</f>
        <v>18.351666666667001</v>
      </c>
      <c r="AQ22" s="15"/>
      <c r="AR22" s="15"/>
    </row>
    <row r="23" spans="1:44" ht="22.5" customHeight="1">
      <c r="A23" s="7" t="s">
        <v>1374</v>
      </c>
      <c r="B23" s="7" t="str">
        <f t="shared" si="5"/>
        <v>⚠️</v>
      </c>
      <c r="C23" s="7" t="s">
        <v>433</v>
      </c>
      <c r="D23" s="7" t="s">
        <v>449</v>
      </c>
      <c r="E23" s="7" t="s">
        <v>450</v>
      </c>
      <c r="F23" s="7" t="s">
        <v>451</v>
      </c>
      <c r="G23" s="8" t="s">
        <v>452</v>
      </c>
      <c r="H23" s="8" t="s">
        <v>453</v>
      </c>
      <c r="I23" s="7">
        <v>46</v>
      </c>
      <c r="J23" s="55">
        <v>31</v>
      </c>
      <c r="K23" s="55"/>
      <c r="L23" s="55">
        <v>32</v>
      </c>
      <c r="M23" s="27" t="s">
        <v>454</v>
      </c>
      <c r="N23" s="7"/>
      <c r="O23" s="10" t="e">
        <f>J23/(AG23*0.0951)</f>
        <v>#DIV/0!</v>
      </c>
      <c r="P23" s="7" t="e">
        <f t="shared" si="6"/>
        <v>#DIV/0!</v>
      </c>
      <c r="Q23" s="11" t="e">
        <f>(J23-#REF!)/#REF!</f>
        <v>#REF!</v>
      </c>
      <c r="R23" s="7" t="e">
        <f t="shared" si="7"/>
        <v>#REF!</v>
      </c>
      <c r="S23" s="7">
        <v>0</v>
      </c>
      <c r="T23" s="7">
        <v>1</v>
      </c>
      <c r="U23" s="7">
        <v>1</v>
      </c>
      <c r="V23" s="7">
        <v>0</v>
      </c>
      <c r="W23" s="7">
        <f t="shared" si="8"/>
        <v>0</v>
      </c>
      <c r="X23" s="7"/>
      <c r="Y23" s="7" t="s">
        <v>45</v>
      </c>
      <c r="Z23" s="7"/>
      <c r="AA23" s="7">
        <v>36</v>
      </c>
      <c r="AB23" s="7"/>
      <c r="AC23" s="7"/>
      <c r="AD23" s="7" t="s">
        <v>376</v>
      </c>
      <c r="AE23" s="7"/>
      <c r="AF23" s="7"/>
      <c r="AG23" s="13"/>
      <c r="AH23" s="7"/>
      <c r="AI23" s="7"/>
      <c r="AJ23" s="7"/>
      <c r="AK23" s="7"/>
      <c r="AL23" s="7" t="s">
        <v>57</v>
      </c>
      <c r="AM23" s="7"/>
      <c r="AN23" s="7" t="e" vm="55">
        <v>#VALUE!</v>
      </c>
      <c r="AO23" s="15" cm="1" vm="56">
        <f t="array" aca="1" ref="AO23" ca="1">_FV(NTC_centri_2[[#This Row],[Grad2]],"Latitude")</f>
        <v>42.42539</v>
      </c>
      <c r="AP23" s="15" cm="1" vm="57">
        <f t="array" aca="1" ref="AP23" ca="1">_FV(NTC_centri_2[[#This Row],[Grad2]],"Longitude")</f>
        <v>18.771191000000002</v>
      </c>
      <c r="AQ23" s="15"/>
      <c r="AR23" s="15"/>
    </row>
    <row r="24" spans="1:44" ht="22.5" customHeight="1">
      <c r="A24" s="7" t="s">
        <v>309</v>
      </c>
      <c r="B24" s="7" t="str">
        <f t="shared" si="5"/>
        <v>⚙️</v>
      </c>
      <c r="C24" s="4" t="s">
        <v>40</v>
      </c>
      <c r="D24" s="7" t="s">
        <v>80</v>
      </c>
      <c r="E24" s="7" t="s">
        <v>81</v>
      </c>
      <c r="F24" s="4" t="s">
        <v>310</v>
      </c>
      <c r="G24" s="8"/>
      <c r="H24" s="8" t="s">
        <v>83</v>
      </c>
      <c r="I24" s="7">
        <v>1</v>
      </c>
      <c r="J24" s="7"/>
      <c r="K24" s="7"/>
      <c r="L24" s="7">
        <v>1</v>
      </c>
      <c r="M24" s="16" t="s">
        <v>311</v>
      </c>
      <c r="N24" s="17">
        <v>3200</v>
      </c>
      <c r="O24" s="10">
        <f t="shared" ref="O24:O29" si="9">I24/(AG24*0.0951)</f>
        <v>3.7366288007913883E-4</v>
      </c>
      <c r="P24" s="7">
        <f t="shared" si="6"/>
        <v>0</v>
      </c>
      <c r="Q24" s="11">
        <f t="shared" ref="Q24:Q29" si="10">(I24-L24)/L24</f>
        <v>0</v>
      </c>
      <c r="R24" s="7">
        <f t="shared" si="7"/>
        <v>1</v>
      </c>
      <c r="S24" s="7">
        <v>0</v>
      </c>
      <c r="T24" s="7">
        <v>1</v>
      </c>
      <c r="U24" s="7">
        <v>1</v>
      </c>
      <c r="V24" s="7">
        <v>0</v>
      </c>
      <c r="W24" s="7">
        <f t="shared" si="8"/>
        <v>3</v>
      </c>
      <c r="X24" s="7"/>
      <c r="Y24" s="7" t="s">
        <v>45</v>
      </c>
      <c r="Z24" s="7"/>
      <c r="AA24" s="7" t="s">
        <v>312</v>
      </c>
      <c r="AB24" s="7">
        <v>34</v>
      </c>
      <c r="AC24" s="7" t="s">
        <v>224</v>
      </c>
      <c r="AD24" s="7" t="s">
        <v>53</v>
      </c>
      <c r="AE24" s="20" t="s">
        <v>80</v>
      </c>
      <c r="AF24" s="7" t="s">
        <v>313</v>
      </c>
      <c r="AG24" s="17">
        <v>28141</v>
      </c>
      <c r="AH24" s="7" t="s">
        <v>68</v>
      </c>
      <c r="AI24" s="7" t="s">
        <v>57</v>
      </c>
      <c r="AJ24" s="7" t="s">
        <v>57</v>
      </c>
      <c r="AK24" s="7" t="s">
        <v>226</v>
      </c>
      <c r="AL24" s="7" t="s">
        <v>57</v>
      </c>
      <c r="AM24" s="7" t="s">
        <v>88</v>
      </c>
      <c r="AN24" s="7" t="e" vm="58">
        <v>#VALUE!</v>
      </c>
      <c r="AO24" s="15" cm="1" vm="59">
        <f t="array" aca="1" ref="AO24" ca="1">_FV(NTC_centri_2[[#This Row],[Grad2]],"Latitude")</f>
        <v>44.747500000000002</v>
      </c>
      <c r="AP24" s="15" cm="1" vm="60">
        <f t="array" aca="1" ref="AP24" ca="1">_FV(NTC_centri_2[[#This Row],[Grad2]],"Longitude")</f>
        <v>20.976109999999998</v>
      </c>
      <c r="AQ24" s="15"/>
      <c r="AR24" s="15"/>
    </row>
    <row r="25" spans="1:44" ht="22.5" customHeight="1">
      <c r="A25" s="7" t="s">
        <v>250</v>
      </c>
      <c r="B25" s="7" t="str">
        <f t="shared" si="5"/>
        <v>⚙️</v>
      </c>
      <c r="C25" s="4" t="s">
        <v>40</v>
      </c>
      <c r="D25" s="7" t="s">
        <v>251</v>
      </c>
      <c r="E25" s="7" t="s">
        <v>252</v>
      </c>
      <c r="F25" s="7" t="s">
        <v>253</v>
      </c>
      <c r="G25" s="8"/>
      <c r="H25" s="8" t="s">
        <v>254</v>
      </c>
      <c r="I25" s="7">
        <v>71</v>
      </c>
      <c r="J25" s="7">
        <v>71</v>
      </c>
      <c r="K25" s="7"/>
      <c r="L25" s="7">
        <v>68</v>
      </c>
      <c r="M25" s="16" t="s">
        <v>255</v>
      </c>
      <c r="N25" s="17">
        <v>4000</v>
      </c>
      <c r="O25" s="10">
        <f t="shared" si="9"/>
        <v>4.3612359929538647E-3</v>
      </c>
      <c r="P25" s="7">
        <f t="shared" si="6"/>
        <v>0</v>
      </c>
      <c r="Q25" s="11">
        <f t="shared" si="10"/>
        <v>4.4117647058823532E-2</v>
      </c>
      <c r="R25" s="7">
        <f t="shared" si="7"/>
        <v>1</v>
      </c>
      <c r="S25" s="7">
        <v>0</v>
      </c>
      <c r="T25" s="7">
        <v>1</v>
      </c>
      <c r="U25" s="7">
        <v>1</v>
      </c>
      <c r="V25" s="7">
        <v>0</v>
      </c>
      <c r="W25" s="7">
        <f t="shared" si="8"/>
        <v>3</v>
      </c>
      <c r="X25" s="7"/>
      <c r="Y25" s="7" t="s">
        <v>57</v>
      </c>
      <c r="Z25" s="7"/>
      <c r="AA25" s="7">
        <v>68</v>
      </c>
      <c r="AB25" s="7">
        <v>68</v>
      </c>
      <c r="AC25" s="7" t="s">
        <v>256</v>
      </c>
      <c r="AD25" s="7" t="s">
        <v>53</v>
      </c>
      <c r="AE25" s="20" t="s">
        <v>257</v>
      </c>
      <c r="AF25" s="7" t="s">
        <v>86</v>
      </c>
      <c r="AG25" s="17">
        <v>171186</v>
      </c>
      <c r="AH25" s="7" t="s">
        <v>96</v>
      </c>
      <c r="AI25" s="7" t="s">
        <v>57</v>
      </c>
      <c r="AJ25" s="7" t="s">
        <v>57</v>
      </c>
      <c r="AK25" s="7" t="s">
        <v>258</v>
      </c>
      <c r="AL25" s="7" t="s">
        <v>57</v>
      </c>
      <c r="AM25" s="7" t="s">
        <v>88</v>
      </c>
      <c r="AN25" s="7" t="e" vm="61">
        <v>#VALUE!</v>
      </c>
      <c r="AO25" s="15" cm="1" vm="62">
        <f t="array" aca="1" ref="AO25" ca="1">_FV(NTC_centri_2[[#This Row],[Grad2]],"Latitude")</f>
        <v>44.014166666667002</v>
      </c>
      <c r="AP25" s="15" cm="1" vm="63">
        <f t="array" aca="1" ref="AP25" ca="1">_FV(NTC_centri_2[[#This Row],[Grad2]],"Longitude")</f>
        <v>20.939444444444</v>
      </c>
      <c r="AQ25" s="15"/>
      <c r="AR25" s="15"/>
    </row>
    <row r="26" spans="1:44" ht="22.5" customHeight="1">
      <c r="A26" s="4" t="s">
        <v>155</v>
      </c>
      <c r="B26" s="7" t="str">
        <f t="shared" si="5"/>
        <v>🥈</v>
      </c>
      <c r="C26" s="4" t="s">
        <v>40</v>
      </c>
      <c r="D26" s="4" t="s">
        <v>156</v>
      </c>
      <c r="E26" s="33" t="s">
        <v>157</v>
      </c>
      <c r="F26" s="4" t="s">
        <v>158</v>
      </c>
      <c r="G26" s="7" t="s">
        <v>159</v>
      </c>
      <c r="H26" s="8" t="s">
        <v>160</v>
      </c>
      <c r="I26" s="7">
        <v>121</v>
      </c>
      <c r="J26" s="7">
        <v>149</v>
      </c>
      <c r="K26" s="7"/>
      <c r="L26" s="7">
        <v>117</v>
      </c>
      <c r="M26" s="34" t="s">
        <v>161</v>
      </c>
      <c r="N26" s="17">
        <v>3400</v>
      </c>
      <c r="O26" s="10">
        <f t="shared" si="9"/>
        <v>1.1201994154929061E-2</v>
      </c>
      <c r="P26" s="7">
        <f t="shared" si="6"/>
        <v>2</v>
      </c>
      <c r="Q26" s="11">
        <f t="shared" si="10"/>
        <v>3.4188034188034191E-2</v>
      </c>
      <c r="R26" s="7">
        <f t="shared" si="7"/>
        <v>1</v>
      </c>
      <c r="S26" s="7">
        <v>0</v>
      </c>
      <c r="T26" s="7">
        <v>1</v>
      </c>
      <c r="U26" s="7">
        <v>1</v>
      </c>
      <c r="V26" s="7">
        <v>0</v>
      </c>
      <c r="W26" s="7">
        <f t="shared" si="8"/>
        <v>5</v>
      </c>
      <c r="X26" s="7"/>
      <c r="Y26" s="37" t="s">
        <v>57</v>
      </c>
      <c r="Z26" s="7">
        <v>117</v>
      </c>
      <c r="AA26" s="7">
        <v>117</v>
      </c>
      <c r="AB26" s="7">
        <v>149</v>
      </c>
      <c r="AC26" s="7" t="s">
        <v>162</v>
      </c>
      <c r="AD26" s="7" t="s">
        <v>53</v>
      </c>
      <c r="AE26" s="25"/>
      <c r="AF26" s="7"/>
      <c r="AG26" s="17">
        <v>113582</v>
      </c>
      <c r="AH26" s="7" t="s">
        <v>96</v>
      </c>
      <c r="AI26" s="7" t="s">
        <v>57</v>
      </c>
      <c r="AJ26" s="7" t="s">
        <v>57</v>
      </c>
      <c r="AK26" s="7" t="s">
        <v>163</v>
      </c>
      <c r="AL26" s="7" t="s">
        <v>57</v>
      </c>
      <c r="AM26" s="7" t="s">
        <v>88</v>
      </c>
      <c r="AN26" s="4" t="e" vm="64">
        <v>#VALUE!</v>
      </c>
      <c r="AO26" s="15" cm="1" vm="65">
        <f t="array" aca="1" ref="AO26" ca="1">_FV(NTC_centri_2[[#This Row],[Grad2]],"Latitude")</f>
        <v>43.583333333333002</v>
      </c>
      <c r="AP26" s="15" cm="1" vm="66">
        <f t="array" aca="1" ref="AP26" ca="1">_FV(NTC_centri_2[[#This Row],[Grad2]],"Longitude")</f>
        <v>21.326666666666998</v>
      </c>
      <c r="AQ26" s="15"/>
      <c r="AR26" s="15"/>
    </row>
    <row r="27" spans="1:44" ht="22.5" customHeight="1">
      <c r="A27" s="7" t="s">
        <v>1375</v>
      </c>
      <c r="B27" s="7" t="str">
        <f t="shared" si="5"/>
        <v>🥈</v>
      </c>
      <c r="C27" s="4" t="s">
        <v>40</v>
      </c>
      <c r="D27" s="7" t="s">
        <v>139</v>
      </c>
      <c r="E27" s="7" t="s">
        <v>140</v>
      </c>
      <c r="F27" s="7" t="s">
        <v>141</v>
      </c>
      <c r="G27" s="8"/>
      <c r="H27" s="8" t="s">
        <v>142</v>
      </c>
      <c r="I27" s="7">
        <v>61</v>
      </c>
      <c r="J27" s="7">
        <v>49</v>
      </c>
      <c r="K27" s="7"/>
      <c r="L27" s="7">
        <v>1</v>
      </c>
      <c r="M27" s="27" t="s">
        <v>143</v>
      </c>
      <c r="N27" s="17">
        <v>3200</v>
      </c>
      <c r="O27" s="10">
        <f t="shared" si="9"/>
        <v>1.8021748527948127E-2</v>
      </c>
      <c r="P27" s="7">
        <f t="shared" si="6"/>
        <v>2</v>
      </c>
      <c r="Q27" s="11">
        <f t="shared" si="10"/>
        <v>60</v>
      </c>
      <c r="R27" s="7">
        <f t="shared" si="7"/>
        <v>2</v>
      </c>
      <c r="S27" s="7">
        <v>0</v>
      </c>
      <c r="T27" s="7">
        <v>1</v>
      </c>
      <c r="U27" s="7">
        <v>1</v>
      </c>
      <c r="V27" s="7">
        <v>0</v>
      </c>
      <c r="W27" s="7">
        <f t="shared" si="8"/>
        <v>6</v>
      </c>
      <c r="X27" s="7"/>
      <c r="Y27" s="7" t="s">
        <v>57</v>
      </c>
      <c r="Z27" s="7"/>
      <c r="AA27" s="7"/>
      <c r="AB27" s="7"/>
      <c r="AC27" s="7" t="s">
        <v>144</v>
      </c>
      <c r="AD27" s="7" t="s">
        <v>53</v>
      </c>
      <c r="AE27" s="25"/>
      <c r="AF27" s="7" t="s">
        <v>86</v>
      </c>
      <c r="AG27" s="17">
        <v>35592</v>
      </c>
      <c r="AH27" s="7" t="s">
        <v>56</v>
      </c>
      <c r="AI27" s="7" t="s">
        <v>57</v>
      </c>
      <c r="AJ27" s="7" t="s">
        <v>57</v>
      </c>
      <c r="AK27" s="7" t="s">
        <v>145</v>
      </c>
      <c r="AL27" s="7" t="s">
        <v>57</v>
      </c>
      <c r="AM27" s="7" t="s">
        <v>59</v>
      </c>
      <c r="AN27" s="7" t="e" vm="67">
        <v>#VALUE!</v>
      </c>
      <c r="AO27" s="15" cm="1" vm="68">
        <f t="array" aca="1" ref="AO27" ca="1">_FV(NTC_centri_2[[#This Row],[Grad2]],"Latitude")</f>
        <v>45.6</v>
      </c>
      <c r="AP27" s="15" cm="1" vm="69">
        <f t="array" aca="1" ref="AP27" ca="1">_FV(NTC_centri_2[[#This Row],[Grad2]],"Longitude")</f>
        <v>19.533333333333001</v>
      </c>
      <c r="AQ27" s="15"/>
      <c r="AR27" s="15"/>
    </row>
    <row r="28" spans="1:44" ht="22.5" customHeight="1">
      <c r="A28" s="7" t="s">
        <v>107</v>
      </c>
      <c r="B28" s="7" t="str">
        <f t="shared" si="5"/>
        <v>🥈</v>
      </c>
      <c r="C28" s="4" t="s">
        <v>40</v>
      </c>
      <c r="D28" s="7" t="s">
        <v>108</v>
      </c>
      <c r="E28" s="7" t="s">
        <v>109</v>
      </c>
      <c r="F28" s="7" t="s">
        <v>110</v>
      </c>
      <c r="G28" s="8"/>
      <c r="H28" s="8" t="s">
        <v>111</v>
      </c>
      <c r="I28" s="7">
        <v>28</v>
      </c>
      <c r="J28" s="7">
        <v>28</v>
      </c>
      <c r="K28" s="7"/>
      <c r="L28" s="7">
        <v>1</v>
      </c>
      <c r="M28" s="445" t="s">
        <v>112</v>
      </c>
      <c r="N28" s="17">
        <v>3600</v>
      </c>
      <c r="O28" s="10">
        <f t="shared" si="9"/>
        <v>2.1296703004166164E-2</v>
      </c>
      <c r="P28" s="7">
        <f t="shared" si="6"/>
        <v>2</v>
      </c>
      <c r="Q28" s="11">
        <f t="shared" si="10"/>
        <v>27</v>
      </c>
      <c r="R28" s="7">
        <f t="shared" si="7"/>
        <v>2</v>
      </c>
      <c r="S28" s="7">
        <v>0</v>
      </c>
      <c r="T28" s="7">
        <v>1</v>
      </c>
      <c r="U28" s="7">
        <v>1</v>
      </c>
      <c r="V28" s="7">
        <v>0</v>
      </c>
      <c r="W28" s="7">
        <f t="shared" si="8"/>
        <v>6</v>
      </c>
      <c r="X28" s="7"/>
      <c r="Y28" s="7" t="s">
        <v>57</v>
      </c>
      <c r="Z28" s="7"/>
      <c r="AA28" s="7"/>
      <c r="AB28" s="7">
        <v>26</v>
      </c>
      <c r="AC28" s="7" t="s">
        <v>113</v>
      </c>
      <c r="AD28" s="7" t="s">
        <v>53</v>
      </c>
      <c r="AE28" s="18" t="s">
        <v>114</v>
      </c>
      <c r="AF28" s="7" t="s">
        <v>77</v>
      </c>
      <c r="AG28" s="17">
        <v>13825</v>
      </c>
      <c r="AH28" s="7" t="s">
        <v>96</v>
      </c>
      <c r="AI28" s="7" t="s">
        <v>57</v>
      </c>
      <c r="AJ28" s="7" t="s">
        <v>57</v>
      </c>
      <c r="AK28" s="7" t="s">
        <v>115</v>
      </c>
      <c r="AL28" s="7" t="s">
        <v>57</v>
      </c>
      <c r="AM28" s="7" t="s">
        <v>59</v>
      </c>
      <c r="AN28" s="7" t="e" vm="70">
        <v>#VALUE!</v>
      </c>
      <c r="AO28" s="15" cm="1" vm="71">
        <f t="array" aca="1" ref="AO28" ca="1">_FV(NTC_centri_2[[#This Row],[Grad2]],"Latitude")</f>
        <v>44.366666666667001</v>
      </c>
      <c r="AP28" s="15" cm="1" vm="72">
        <f t="array" aca="1" ref="AP28" ca="1">_FV(NTC_centri_2[[#This Row],[Grad2]],"Longitude")</f>
        <v>20.166666666666998</v>
      </c>
      <c r="AQ28" s="15"/>
      <c r="AR28" s="15"/>
    </row>
    <row r="29" spans="1:44" ht="22.5" customHeight="1">
      <c r="A29" s="7" t="s">
        <v>1046</v>
      </c>
      <c r="B29" s="7" t="str">
        <f t="shared" si="5"/>
        <v>🥈</v>
      </c>
      <c r="C29" s="4" t="s">
        <v>40</v>
      </c>
      <c r="D29" s="7" t="s">
        <v>108</v>
      </c>
      <c r="E29" s="7" t="s">
        <v>109</v>
      </c>
      <c r="F29" s="7" t="s">
        <v>136</v>
      </c>
      <c r="G29" s="8"/>
      <c r="H29" s="8" t="s">
        <v>111</v>
      </c>
      <c r="I29" s="7">
        <v>76</v>
      </c>
      <c r="J29" s="7">
        <v>83</v>
      </c>
      <c r="K29" s="7"/>
      <c r="L29" s="7">
        <v>63</v>
      </c>
      <c r="M29" s="28" t="s">
        <v>137</v>
      </c>
      <c r="N29" s="29">
        <v>3600</v>
      </c>
      <c r="O29" s="10">
        <f t="shared" si="9"/>
        <v>1.4491690788658024E-2</v>
      </c>
      <c r="P29" s="30">
        <f t="shared" si="6"/>
        <v>2</v>
      </c>
      <c r="Q29" s="11">
        <f t="shared" si="10"/>
        <v>0.20634920634920634</v>
      </c>
      <c r="R29" s="30">
        <f t="shared" si="7"/>
        <v>2</v>
      </c>
      <c r="S29" s="7">
        <v>0</v>
      </c>
      <c r="T29" s="7">
        <v>1</v>
      </c>
      <c r="U29" s="7">
        <v>1</v>
      </c>
      <c r="V29" s="7">
        <v>0</v>
      </c>
      <c r="W29" s="7">
        <f t="shared" si="8"/>
        <v>6</v>
      </c>
      <c r="X29" s="30"/>
      <c r="Y29" s="7" t="s">
        <v>57</v>
      </c>
      <c r="Z29" s="7"/>
      <c r="AA29" s="7">
        <v>63</v>
      </c>
      <c r="AB29" s="31">
        <v>78</v>
      </c>
      <c r="AC29" s="31" t="s">
        <v>113</v>
      </c>
      <c r="AD29" s="7" t="s">
        <v>53</v>
      </c>
      <c r="AE29" s="20" t="s">
        <v>114</v>
      </c>
      <c r="AF29" s="7" t="s">
        <v>86</v>
      </c>
      <c r="AG29" s="17">
        <v>55146</v>
      </c>
      <c r="AH29" s="7" t="s">
        <v>96</v>
      </c>
      <c r="AI29" s="7" t="s">
        <v>57</v>
      </c>
      <c r="AJ29" s="7" t="s">
        <v>57</v>
      </c>
      <c r="AK29" s="7" t="s">
        <v>115</v>
      </c>
      <c r="AL29" s="7" t="s">
        <v>57</v>
      </c>
      <c r="AM29" s="7" t="s">
        <v>59</v>
      </c>
      <c r="AN29" s="7" t="e" vm="73">
        <v>#VALUE!</v>
      </c>
      <c r="AO29" s="15" cm="1" vm="71">
        <f t="array" aca="1" ref="AO29" ca="1">_FV(NTC_centri_2[[#This Row],[Grad2]],"Latitude")</f>
        <v>44.366666666667001</v>
      </c>
      <c r="AP29" s="15" cm="1" vm="74">
        <f t="array" aca="1" ref="AP29" ca="1">_FV(NTC_centri_2[[#This Row],[Grad2]],"Longitude")</f>
        <v>20.25</v>
      </c>
      <c r="AQ29" s="15"/>
      <c r="AR29" s="15"/>
    </row>
    <row r="30" spans="1:44" ht="22.5" customHeight="1">
      <c r="A30" s="7" t="s">
        <v>370</v>
      </c>
      <c r="B30" s="7" t="str">
        <f t="shared" si="5"/>
        <v>⚠️</v>
      </c>
      <c r="C30" s="7" t="s">
        <v>371</v>
      </c>
      <c r="D30" s="7" t="s">
        <v>372</v>
      </c>
      <c r="E30" s="7" t="s">
        <v>373</v>
      </c>
      <c r="F30" s="7" t="s">
        <v>374</v>
      </c>
      <c r="G30" s="8"/>
      <c r="H30" s="8" t="s">
        <v>375</v>
      </c>
      <c r="I30" s="12"/>
      <c r="J30" s="7"/>
      <c r="K30" s="7"/>
      <c r="L30" s="7"/>
      <c r="M30" s="37"/>
      <c r="N30" s="7"/>
      <c r="O30" s="10" t="e">
        <f>J30/(AG30*0.0951)</f>
        <v>#DIV/0!</v>
      </c>
      <c r="P30" s="7" t="e">
        <f t="shared" si="6"/>
        <v>#DIV/0!</v>
      </c>
      <c r="Q30" s="11" t="e">
        <f>(J30-#REF!)/#REF!</f>
        <v>#REF!</v>
      </c>
      <c r="R30" s="7" t="e">
        <f t="shared" si="7"/>
        <v>#REF!</v>
      </c>
      <c r="S30" s="7">
        <v>0</v>
      </c>
      <c r="T30" s="7">
        <v>1</v>
      </c>
      <c r="U30" s="7">
        <v>1</v>
      </c>
      <c r="V30" s="7">
        <v>0</v>
      </c>
      <c r="W30" s="7">
        <f t="shared" si="8"/>
        <v>0</v>
      </c>
      <c r="X30" s="7"/>
      <c r="Y30" s="7" t="s">
        <v>45</v>
      </c>
      <c r="Z30" s="7"/>
      <c r="AA30" s="7">
        <v>1</v>
      </c>
      <c r="AB30" s="7"/>
      <c r="AC30" s="7"/>
      <c r="AD30" s="7" t="s">
        <v>376</v>
      </c>
      <c r="AE30" s="53"/>
      <c r="AF30" s="7"/>
      <c r="AG30" s="17"/>
      <c r="AH30" s="7"/>
      <c r="AI30" s="7"/>
      <c r="AJ30" s="7" t="s">
        <v>57</v>
      </c>
      <c r="AK30" s="7"/>
      <c r="AL30" s="7" t="s">
        <v>57</v>
      </c>
      <c r="AM30" s="7"/>
      <c r="AN30" s="7" t="e" vm="75">
        <v>#VALUE!</v>
      </c>
      <c r="AO30" s="15" cm="1" vm="76">
        <f t="array" aca="1" ref="AO30" ca="1">_FV(NTC_centri_2[[#This Row],[Grad2]],"Latitude")</f>
        <v>46.051388888888901</v>
      </c>
      <c r="AP30" s="15" cm="1" vm="77">
        <f t="array" aca="1" ref="AP30" ca="1">_FV(NTC_centri_2[[#This Row],[Grad2]],"Longitude")</f>
        <v>14.5061111111111</v>
      </c>
      <c r="AQ30" s="15"/>
      <c r="AR30" s="15"/>
    </row>
    <row r="31" spans="1:44" ht="22.5" customHeight="1">
      <c r="A31" s="4" t="s">
        <v>289</v>
      </c>
      <c r="B31" s="7" t="str">
        <f t="shared" si="5"/>
        <v>⚙️</v>
      </c>
      <c r="C31" s="4" t="s">
        <v>40</v>
      </c>
      <c r="D31" s="4" t="s">
        <v>290</v>
      </c>
      <c r="E31" s="7" t="s">
        <v>291</v>
      </c>
      <c r="F31" s="4" t="s">
        <v>292</v>
      </c>
      <c r="G31" s="8" t="s">
        <v>293</v>
      </c>
      <c r="H31" s="8" t="s">
        <v>294</v>
      </c>
      <c r="I31" s="7">
        <v>29</v>
      </c>
      <c r="J31" s="7">
        <v>29</v>
      </c>
      <c r="K31" s="7"/>
      <c r="L31" s="7">
        <v>36</v>
      </c>
      <c r="M31" s="19" t="s">
        <v>295</v>
      </c>
      <c r="N31" s="7" t="s">
        <v>296</v>
      </c>
      <c r="O31" s="10">
        <f>I31/(AG31*0.0951)</f>
        <v>4.231663930239298E-3</v>
      </c>
      <c r="P31" s="7">
        <f t="shared" si="6"/>
        <v>0</v>
      </c>
      <c r="Q31" s="11">
        <f>(I31-L31)/L31</f>
        <v>-0.19444444444444445</v>
      </c>
      <c r="R31" s="7">
        <f t="shared" si="7"/>
        <v>0</v>
      </c>
      <c r="S31" s="7">
        <v>0</v>
      </c>
      <c r="T31" s="7">
        <v>1</v>
      </c>
      <c r="U31" s="7">
        <v>1</v>
      </c>
      <c r="V31" s="7">
        <v>0</v>
      </c>
      <c r="W31" s="7">
        <f t="shared" si="8"/>
        <v>2</v>
      </c>
      <c r="X31" s="7"/>
      <c r="Y31" s="7" t="s">
        <v>57</v>
      </c>
      <c r="Z31" s="7">
        <v>47</v>
      </c>
      <c r="AA31" s="7">
        <v>36</v>
      </c>
      <c r="AB31" s="7">
        <v>29</v>
      </c>
      <c r="AC31" s="7" t="s">
        <v>297</v>
      </c>
      <c r="AD31" s="7" t="s">
        <v>53</v>
      </c>
      <c r="AE31" s="35"/>
      <c r="AF31" s="7"/>
      <c r="AG31" s="17">
        <v>72062</v>
      </c>
      <c r="AH31" s="7" t="s">
        <v>96</v>
      </c>
      <c r="AI31" s="7"/>
      <c r="AJ31" s="7" t="s">
        <v>57</v>
      </c>
      <c r="AK31" s="7" t="s">
        <v>298</v>
      </c>
      <c r="AL31" s="7" t="s">
        <v>57</v>
      </c>
      <c r="AM31" s="7" t="s">
        <v>88</v>
      </c>
      <c r="AN31" s="4" t="e" vm="78">
        <v>#VALUE!</v>
      </c>
      <c r="AO31" s="15" cm="1" vm="79">
        <f t="array" aca="1" ref="AO31" ca="1">_FV(NTC_centri_2[[#This Row],[Grad2]],"Latitude")</f>
        <v>44.533333333332997</v>
      </c>
      <c r="AP31" s="15" cm="1" vm="80">
        <f t="array" aca="1" ref="AP31" ca="1">_FV(NTC_centri_2[[#This Row],[Grad2]],"Longitude")</f>
        <v>19.225833333333</v>
      </c>
      <c r="AQ31" s="15"/>
      <c r="AR31" s="15"/>
    </row>
    <row r="32" spans="1:44" ht="22.5" customHeight="1">
      <c r="A32" s="7" t="s">
        <v>1024</v>
      </c>
      <c r="B32" s="7" t="str">
        <f t="shared" si="5"/>
        <v>🥈</v>
      </c>
      <c r="C32" s="4" t="s">
        <v>40</v>
      </c>
      <c r="D32" s="7" t="s">
        <v>126</v>
      </c>
      <c r="E32" s="7" t="s">
        <v>127</v>
      </c>
      <c r="F32" s="7" t="s">
        <v>128</v>
      </c>
      <c r="G32" s="8"/>
      <c r="H32" s="8" t="s">
        <v>129</v>
      </c>
      <c r="I32" s="7">
        <v>61</v>
      </c>
      <c r="J32" s="7">
        <v>61</v>
      </c>
      <c r="K32" s="7"/>
      <c r="L32" s="7">
        <v>56</v>
      </c>
      <c r="M32" s="27" t="s">
        <v>130</v>
      </c>
      <c r="N32" s="17">
        <v>3000</v>
      </c>
      <c r="O32" s="10">
        <f>I32/(AG32*0.0951)</f>
        <v>5.3182163469590399E-2</v>
      </c>
      <c r="P32" s="7">
        <f t="shared" si="6"/>
        <v>3</v>
      </c>
      <c r="Q32" s="11">
        <f>(I32-L32)/L32</f>
        <v>8.9285714285714288E-2</v>
      </c>
      <c r="R32" s="7">
        <f t="shared" si="7"/>
        <v>1</v>
      </c>
      <c r="S32" s="7">
        <v>0</v>
      </c>
      <c r="T32" s="7">
        <v>1</v>
      </c>
      <c r="U32" s="7">
        <v>1</v>
      </c>
      <c r="V32" s="7">
        <v>0</v>
      </c>
      <c r="W32" s="7">
        <f t="shared" si="8"/>
        <v>6</v>
      </c>
      <c r="X32" s="7"/>
      <c r="Y32" s="7" t="s">
        <v>57</v>
      </c>
      <c r="Z32" s="7"/>
      <c r="AA32" s="7">
        <v>56</v>
      </c>
      <c r="AB32" s="7">
        <v>61</v>
      </c>
      <c r="AC32" s="7" t="s">
        <v>131</v>
      </c>
      <c r="AD32" s="7" t="s">
        <v>53</v>
      </c>
      <c r="AE32" s="18" t="s">
        <v>132</v>
      </c>
      <c r="AF32" s="7" t="s">
        <v>133</v>
      </c>
      <c r="AG32" s="17">
        <v>12061</v>
      </c>
      <c r="AH32" s="7" t="s">
        <v>68</v>
      </c>
      <c r="AI32" s="7" t="s">
        <v>57</v>
      </c>
      <c r="AJ32" s="7" t="s">
        <v>57</v>
      </c>
      <c r="AK32" s="7" t="s">
        <v>134</v>
      </c>
      <c r="AL32" s="7" t="s">
        <v>57</v>
      </c>
      <c r="AM32" s="7" t="s">
        <v>59</v>
      </c>
      <c r="AN32" s="7" t="e" vm="81">
        <v>#VALUE!</v>
      </c>
      <c r="AO32" s="15" cm="1" vm="82">
        <f t="array" aca="1" ref="AO32" ca="1">_FV(NTC_centri_2[[#This Row],[Grad2]],"Latitude")</f>
        <v>44.25</v>
      </c>
      <c r="AP32" s="15" cm="1" vm="83">
        <f t="array" aca="1" ref="AP32" ca="1">_FV(NTC_centri_2[[#This Row],[Grad2]],"Longitude")</f>
        <v>20.083333333333002</v>
      </c>
      <c r="AQ32" s="15"/>
      <c r="AR32" s="15"/>
    </row>
    <row r="33" spans="1:44" ht="22.5" customHeight="1">
      <c r="A33" s="4" t="s">
        <v>350</v>
      </c>
      <c r="B33" s="7" t="str">
        <f t="shared" si="5"/>
        <v>⚠️</v>
      </c>
      <c r="C33" s="4" t="s">
        <v>40</v>
      </c>
      <c r="D33" s="4" t="s">
        <v>351</v>
      </c>
      <c r="E33" s="1" t="s">
        <v>352</v>
      </c>
      <c r="F33" s="4" t="s">
        <v>353</v>
      </c>
      <c r="G33" s="8"/>
      <c r="H33" s="8" t="s">
        <v>354</v>
      </c>
      <c r="I33" s="12"/>
      <c r="J33" s="7">
        <v>1</v>
      </c>
      <c r="K33" s="7"/>
      <c r="L33" s="7"/>
      <c r="M33" s="450" t="s">
        <v>355</v>
      </c>
      <c r="N33" s="17">
        <v>4200</v>
      </c>
      <c r="O33" s="10">
        <f>J33/(AG33*0.0951)</f>
        <v>2.1599423018932778E-4</v>
      </c>
      <c r="P33" s="7">
        <f t="shared" si="6"/>
        <v>0</v>
      </c>
      <c r="Q33" s="11" t="e">
        <f>(J33-#REF!)/#REF!</f>
        <v>#REF!</v>
      </c>
      <c r="R33" s="7" t="e">
        <f t="shared" si="7"/>
        <v>#REF!</v>
      </c>
      <c r="S33" s="7"/>
      <c r="T33" s="7"/>
      <c r="U33" s="7"/>
      <c r="V33" s="7"/>
      <c r="W33" s="7">
        <f t="shared" si="8"/>
        <v>0</v>
      </c>
      <c r="X33" s="7"/>
      <c r="Y33" s="7" t="s">
        <v>45</v>
      </c>
      <c r="Z33" s="7"/>
      <c r="AA33" s="7"/>
      <c r="AB33" s="7"/>
      <c r="AC33" s="7" t="s">
        <v>356</v>
      </c>
      <c r="AD33" s="7" t="s">
        <v>53</v>
      </c>
      <c r="AE33" s="25"/>
      <c r="AF33" s="7"/>
      <c r="AG33" s="43">
        <v>48683</v>
      </c>
      <c r="AH33" s="7" t="s">
        <v>96</v>
      </c>
      <c r="AI33" s="7"/>
      <c r="AJ33" s="7" t="s">
        <v>57</v>
      </c>
      <c r="AK33" s="7" t="s">
        <v>357</v>
      </c>
      <c r="AL33" s="7" t="s">
        <v>57</v>
      </c>
      <c r="AM33" s="7"/>
      <c r="AN33" s="4" t="e" vm="84">
        <v>#VALUE!</v>
      </c>
      <c r="AO33" s="15" cm="1" vm="85">
        <f t="array" aca="1" ref="AO33" ca="1">_FV(NTC_centri_2[[#This Row],[Grad2]],"Latitude")</f>
        <v>44.433333333333003</v>
      </c>
      <c r="AP33" s="15" cm="1" vm="86">
        <f t="array" aca="1" ref="AP33" ca="1">_FV(NTC_centri_2[[#This Row],[Grad2]],"Longitude")</f>
        <v>20.7</v>
      </c>
      <c r="AQ33" s="15"/>
      <c r="AR33" s="15"/>
    </row>
    <row r="34" spans="1:44" ht="22.5" customHeight="1">
      <c r="A34" s="7" t="s">
        <v>455</v>
      </c>
      <c r="B34" s="7" t="str">
        <f t="shared" si="5"/>
        <v>⚠️</v>
      </c>
      <c r="C34" s="7" t="s">
        <v>433</v>
      </c>
      <c r="D34" s="7" t="s">
        <v>456</v>
      </c>
      <c r="E34" s="7" t="s">
        <v>457</v>
      </c>
      <c r="F34" s="7" t="s">
        <v>458</v>
      </c>
      <c r="G34" s="8" t="s">
        <v>459</v>
      </c>
      <c r="H34" s="8" t="s">
        <v>460</v>
      </c>
      <c r="I34" s="7">
        <v>21</v>
      </c>
      <c r="J34" s="55">
        <v>35</v>
      </c>
      <c r="K34" s="55"/>
      <c r="L34" s="55">
        <v>36</v>
      </c>
      <c r="M34" s="27" t="s">
        <v>461</v>
      </c>
      <c r="N34" s="7"/>
      <c r="O34" s="10" t="e">
        <f>J34/(AG34*0.0951)</f>
        <v>#DIV/0!</v>
      </c>
      <c r="P34" s="7" t="e">
        <f t="shared" si="6"/>
        <v>#DIV/0!</v>
      </c>
      <c r="Q34" s="11" t="e">
        <f>(J34-#REF!)/#REF!</f>
        <v>#REF!</v>
      </c>
      <c r="R34" s="7" t="e">
        <f t="shared" si="7"/>
        <v>#REF!</v>
      </c>
      <c r="S34" s="7">
        <v>0</v>
      </c>
      <c r="T34" s="7">
        <v>1</v>
      </c>
      <c r="U34" s="7">
        <v>1</v>
      </c>
      <c r="V34" s="7">
        <v>0</v>
      </c>
      <c r="W34" s="7">
        <f t="shared" si="8"/>
        <v>0</v>
      </c>
      <c r="X34" s="7"/>
      <c r="Y34" s="7" t="s">
        <v>45</v>
      </c>
      <c r="Z34" s="7"/>
      <c r="AA34" s="7">
        <v>56</v>
      </c>
      <c r="AB34" s="7"/>
      <c r="AC34" s="7"/>
      <c r="AD34" s="7" t="s">
        <v>376</v>
      </c>
      <c r="AE34" s="7"/>
      <c r="AF34" s="7" t="s">
        <v>447</v>
      </c>
      <c r="AG34" s="13"/>
      <c r="AH34" s="7"/>
      <c r="AI34" s="7"/>
      <c r="AJ34" s="7"/>
      <c r="AK34" s="7"/>
      <c r="AL34" s="7" t="s">
        <v>57</v>
      </c>
      <c r="AM34" s="7"/>
      <c r="AN34" s="7" t="e" vm="87">
        <v>#VALUE!</v>
      </c>
      <c r="AO34" s="15" cm="1" vm="88">
        <f t="array" aca="1" ref="AO34" ca="1">_FV(NTC_centri_2[[#This Row],[Grad2]],"Latitude")</f>
        <v>42.78</v>
      </c>
      <c r="AP34" s="15" cm="1" vm="89">
        <f t="array" aca="1" ref="AP34" ca="1">_FV(NTC_centri_2[[#This Row],[Grad2]],"Longitude")</f>
        <v>18.940000000000001</v>
      </c>
      <c r="AQ34" s="15"/>
      <c r="AR34" s="15"/>
    </row>
    <row r="35" spans="1:44" ht="22.5" customHeight="1">
      <c r="A35" s="4" t="s">
        <v>241</v>
      </c>
      <c r="B35" s="7" t="str">
        <f t="shared" si="5"/>
        <v>⚙️</v>
      </c>
      <c r="C35" s="4" t="s">
        <v>40</v>
      </c>
      <c r="D35" s="4" t="s">
        <v>242</v>
      </c>
      <c r="E35" s="4" t="s">
        <v>243</v>
      </c>
      <c r="F35" s="4" t="s">
        <v>244</v>
      </c>
      <c r="G35" s="5" t="s">
        <v>245</v>
      </c>
      <c r="H35" s="5" t="s">
        <v>246</v>
      </c>
      <c r="I35" s="7">
        <v>126</v>
      </c>
      <c r="J35" s="7">
        <v>130</v>
      </c>
      <c r="K35" s="7"/>
      <c r="L35" s="7">
        <v>123</v>
      </c>
      <c r="M35" s="19" t="s">
        <v>247</v>
      </c>
      <c r="N35" s="17">
        <v>3500</v>
      </c>
      <c r="O35" s="10">
        <f>I35/(AG35*0.0951)</f>
        <v>5.3102838691896533E-3</v>
      </c>
      <c r="P35" s="7">
        <f t="shared" si="6"/>
        <v>0</v>
      </c>
      <c r="Q35" s="11">
        <f>(I35-L35)/L35</f>
        <v>2.4390243902439025E-2</v>
      </c>
      <c r="R35" s="7">
        <f t="shared" si="7"/>
        <v>1</v>
      </c>
      <c r="S35" s="7">
        <v>0</v>
      </c>
      <c r="T35" s="7">
        <v>1</v>
      </c>
      <c r="U35" s="7">
        <v>1</v>
      </c>
      <c r="V35" s="7">
        <v>0</v>
      </c>
      <c r="W35" s="7">
        <f t="shared" si="8"/>
        <v>3</v>
      </c>
      <c r="X35" s="7"/>
      <c r="Y35" s="7" t="s">
        <v>57</v>
      </c>
      <c r="Z35" s="7">
        <v>99</v>
      </c>
      <c r="AA35" s="7">
        <v>123</v>
      </c>
      <c r="AB35" s="7">
        <v>126</v>
      </c>
      <c r="AC35" s="7" t="s">
        <v>248</v>
      </c>
      <c r="AD35" s="7" t="s">
        <v>53</v>
      </c>
      <c r="AE35" s="25"/>
      <c r="AF35" s="7"/>
      <c r="AG35" s="17">
        <v>249501</v>
      </c>
      <c r="AH35" s="7" t="s">
        <v>96</v>
      </c>
      <c r="AI35" s="7" t="s">
        <v>57</v>
      </c>
      <c r="AJ35" s="7" t="s">
        <v>57</v>
      </c>
      <c r="AK35" s="7" t="s">
        <v>249</v>
      </c>
      <c r="AL35" s="7" t="s">
        <v>57</v>
      </c>
      <c r="AM35" s="7" t="s">
        <v>88</v>
      </c>
      <c r="AN35" s="4" t="e" vm="90">
        <v>#VALUE!</v>
      </c>
      <c r="AO35" s="15" cm="1" vm="91">
        <f t="array" aca="1" ref="AO35" ca="1">_FV(NTC_centri_2[[#This Row],[Grad2]],"Latitude")</f>
        <v>43.319166666667002</v>
      </c>
      <c r="AP35" s="15" cm="1" vm="92">
        <f t="array" aca="1" ref="AP35" ca="1">_FV(NTC_centri_2[[#This Row],[Grad2]],"Longitude")</f>
        <v>21.896111111111001</v>
      </c>
      <c r="AQ35" s="15"/>
      <c r="AR35" s="15"/>
    </row>
    <row r="36" spans="1:44" ht="22.5" customHeight="1">
      <c r="A36" s="4" t="s">
        <v>146</v>
      </c>
      <c r="B36" s="7" t="str">
        <f t="shared" si="5"/>
        <v>🥈</v>
      </c>
      <c r="C36" s="4" t="s">
        <v>40</v>
      </c>
      <c r="D36" s="4" t="s">
        <v>147</v>
      </c>
      <c r="E36" s="4" t="s">
        <v>148</v>
      </c>
      <c r="F36" s="4" t="s">
        <v>149</v>
      </c>
      <c r="G36" s="8"/>
      <c r="H36" s="8" t="s">
        <v>150</v>
      </c>
      <c r="I36" s="7">
        <v>34</v>
      </c>
      <c r="J36" s="7">
        <v>30</v>
      </c>
      <c r="K36" s="7"/>
      <c r="L36" s="7">
        <v>31</v>
      </c>
      <c r="M36" s="31" t="s">
        <v>151</v>
      </c>
      <c r="N36" s="17">
        <v>3300</v>
      </c>
      <c r="O36" s="10">
        <f>I36/(AG36*0.0951)</f>
        <v>1.797839694671827E-2</v>
      </c>
      <c r="P36" s="7">
        <f t="shared" ref="P36:P67" si="11">IF(O36&lt;0.01,0,IF(O36&gt;0.03,3,2))</f>
        <v>2</v>
      </c>
      <c r="Q36" s="11">
        <f>(I36-L36)/L36</f>
        <v>9.6774193548387094E-2</v>
      </c>
      <c r="R36" s="7">
        <f t="shared" ref="R36:R67" si="12">IF(Q36&lt;0,0,IF(Q36&gt;0.1,2,1))</f>
        <v>1</v>
      </c>
      <c r="S36" s="7">
        <v>0</v>
      </c>
      <c r="T36" s="7">
        <v>1</v>
      </c>
      <c r="U36" s="7">
        <v>1</v>
      </c>
      <c r="V36" s="7">
        <v>0</v>
      </c>
      <c r="W36" s="7">
        <f t="shared" si="8"/>
        <v>5</v>
      </c>
      <c r="X36" s="7"/>
      <c r="Y36" s="7" t="s">
        <v>57</v>
      </c>
      <c r="Z36" s="7">
        <v>45</v>
      </c>
      <c r="AA36" s="7">
        <v>31</v>
      </c>
      <c r="AB36" s="7">
        <v>34</v>
      </c>
      <c r="AC36" s="7" t="s">
        <v>152</v>
      </c>
      <c r="AD36" s="7" t="s">
        <v>53</v>
      </c>
      <c r="AE36" s="20" t="s">
        <v>147</v>
      </c>
      <c r="AF36" s="7" t="s">
        <v>153</v>
      </c>
      <c r="AG36" s="17">
        <v>19886</v>
      </c>
      <c r="AH36" s="7" t="s">
        <v>68</v>
      </c>
      <c r="AI36" s="7" t="s">
        <v>57</v>
      </c>
      <c r="AJ36" s="7" t="s">
        <v>57</v>
      </c>
      <c r="AK36" s="7" t="s">
        <v>154</v>
      </c>
      <c r="AL36" s="7" t="s">
        <v>57</v>
      </c>
      <c r="AM36" s="7" t="s">
        <v>88</v>
      </c>
      <c r="AN36" s="4" t="e" vm="93">
        <v>#VALUE!</v>
      </c>
      <c r="AO36" s="15" cm="1" vm="68">
        <f t="array" aca="1" ref="AO36" ca="1">_FV(NTC_centri_2[[#This Row],[Grad2]],"Latitude")</f>
        <v>45.6</v>
      </c>
      <c r="AP36" s="15" cm="1" vm="94">
        <f t="array" aca="1" ref="AP36" ca="1">_FV(NTC_centri_2[[#This Row],[Grad2]],"Longitude")</f>
        <v>20.116666666667001</v>
      </c>
      <c r="AQ36" s="15"/>
      <c r="AR36" s="15"/>
    </row>
    <row r="37" spans="1:44" ht="22.5" customHeight="1">
      <c r="A37" s="7" t="s">
        <v>60</v>
      </c>
      <c r="B37" s="7" t="str">
        <f t="shared" si="5"/>
        <v>🏆</v>
      </c>
      <c r="C37" s="4" t="s">
        <v>40</v>
      </c>
      <c r="D37" s="4" t="s">
        <v>61</v>
      </c>
      <c r="E37" s="7" t="s">
        <v>62</v>
      </c>
      <c r="F37" s="7" t="s">
        <v>63</v>
      </c>
      <c r="G37" s="8"/>
      <c r="H37" s="8" t="s">
        <v>64</v>
      </c>
      <c r="I37" s="7">
        <v>88</v>
      </c>
      <c r="J37" s="7">
        <v>87</v>
      </c>
      <c r="K37" s="7"/>
      <c r="L37" s="7">
        <v>1</v>
      </c>
      <c r="M37" s="34" t="s">
        <v>65</v>
      </c>
      <c r="N37" s="17">
        <v>3200</v>
      </c>
      <c r="O37" s="10">
        <f>I37/(AG37*0.0951)</f>
        <v>0.10726112733638807</v>
      </c>
      <c r="P37" s="7">
        <f t="shared" si="11"/>
        <v>3</v>
      </c>
      <c r="Q37" s="11">
        <f>(I37-L37)/L37</f>
        <v>87</v>
      </c>
      <c r="R37" s="7">
        <f t="shared" si="12"/>
        <v>2</v>
      </c>
      <c r="S37" s="7">
        <v>0</v>
      </c>
      <c r="T37" s="7">
        <v>1</v>
      </c>
      <c r="U37" s="7">
        <v>1</v>
      </c>
      <c r="V37" s="7">
        <v>0</v>
      </c>
      <c r="W37" s="7">
        <f t="shared" si="8"/>
        <v>7</v>
      </c>
      <c r="X37" s="7"/>
      <c r="Y37" s="7" t="s">
        <v>57</v>
      </c>
      <c r="Z37" s="7"/>
      <c r="AA37" s="7"/>
      <c r="AB37" s="7">
        <v>88</v>
      </c>
      <c r="AC37" s="7" t="s">
        <v>66</v>
      </c>
      <c r="AD37" s="7" t="s">
        <v>53</v>
      </c>
      <c r="AE37" s="20" t="s">
        <v>61</v>
      </c>
      <c r="AF37" s="7" t="s">
        <v>67</v>
      </c>
      <c r="AG37" s="17">
        <v>8627</v>
      </c>
      <c r="AH37" s="7" t="s">
        <v>68</v>
      </c>
      <c r="AI37" s="7" t="s">
        <v>57</v>
      </c>
      <c r="AJ37" s="7" t="s">
        <v>57</v>
      </c>
      <c r="AK37" s="7" t="s">
        <v>69</v>
      </c>
      <c r="AL37" s="7" t="s">
        <v>57</v>
      </c>
      <c r="AM37" s="7" t="s">
        <v>59</v>
      </c>
      <c r="AN37" s="7" t="e" vm="95">
        <v>#VALUE!</v>
      </c>
      <c r="AO37" cm="1" vm="96">
        <f t="array" aca="1" ref="AO37" ca="1">_FV(NTC_centri_2[[#This Row],[Grad2]],"Latitude")</f>
        <v>46.05</v>
      </c>
      <c r="AP37" s="15" cm="1" vm="97">
        <f t="array" aca="1" ref="AP37" ca="1">_FV(NTC_centri_2[[#This Row],[Grad2]],"Longitude")</f>
        <v>20.100000000000001</v>
      </c>
    </row>
    <row r="38" spans="1:44" ht="22.5" customHeight="1">
      <c r="A38" s="4" t="s">
        <v>332</v>
      </c>
      <c r="B38" s="7" t="str">
        <f t="shared" si="5"/>
        <v>⚠️</v>
      </c>
      <c r="C38" s="4" t="s">
        <v>40</v>
      </c>
      <c r="D38" s="4" t="s">
        <v>333</v>
      </c>
      <c r="E38" s="24" t="s">
        <v>334</v>
      </c>
      <c r="F38" s="7" t="s">
        <v>335</v>
      </c>
      <c r="G38" s="8"/>
      <c r="H38" s="8" t="s">
        <v>336</v>
      </c>
      <c r="I38" s="12"/>
      <c r="J38" s="7">
        <v>1</v>
      </c>
      <c r="K38" s="7"/>
      <c r="L38" s="7"/>
      <c r="M38" s="38" t="s">
        <v>337</v>
      </c>
      <c r="N38" s="17">
        <v>3500</v>
      </c>
      <c r="O38" s="10">
        <f>J38/(AG38*0.0951)</f>
        <v>9.8531176052352366E-5</v>
      </c>
      <c r="P38" s="7">
        <f t="shared" si="11"/>
        <v>0</v>
      </c>
      <c r="Q38" s="11" t="e">
        <f>(J38-#REF!)/#REF!</f>
        <v>#REF!</v>
      </c>
      <c r="R38" s="7" t="e">
        <f t="shared" si="12"/>
        <v>#REF!</v>
      </c>
      <c r="S38" s="7"/>
      <c r="T38" s="7"/>
      <c r="U38" s="7"/>
      <c r="V38" s="7"/>
      <c r="W38" s="7">
        <f t="shared" si="8"/>
        <v>0</v>
      </c>
      <c r="X38" s="7"/>
      <c r="Y38" s="7" t="s">
        <v>45</v>
      </c>
      <c r="Z38" s="7"/>
      <c r="AA38" s="7"/>
      <c r="AB38" s="7"/>
      <c r="AC38" s="7" t="s">
        <v>338</v>
      </c>
      <c r="AD38" s="7" t="s">
        <v>53</v>
      </c>
      <c r="AE38" s="18" t="s">
        <v>339</v>
      </c>
      <c r="AF38" s="7" t="s">
        <v>320</v>
      </c>
      <c r="AG38" s="43">
        <v>106720</v>
      </c>
      <c r="AH38" s="7" t="s">
        <v>96</v>
      </c>
      <c r="AI38" s="7" t="s">
        <v>57</v>
      </c>
      <c r="AJ38" s="7" t="s">
        <v>57</v>
      </c>
      <c r="AK38" s="7" t="s">
        <v>340</v>
      </c>
      <c r="AL38" s="7" t="s">
        <v>57</v>
      </c>
      <c r="AM38" s="7" t="s">
        <v>59</v>
      </c>
      <c r="AN38" s="4" t="e" vm="98">
        <v>#VALUE!</v>
      </c>
      <c r="AO38" s="15" cm="1" vm="99">
        <f t="array" aca="1" ref="AO38" ca="1">_FV(NTC_centri_2[[#This Row],[Grad2]],"Latitude")</f>
        <v>43.15</v>
      </c>
      <c r="AP38" s="15" cm="1" vm="100">
        <f t="array" aca="1" ref="AP38" ca="1">_FV(NTC_centri_2[[#This Row],[Grad2]],"Longitude")</f>
        <v>20.516666666667</v>
      </c>
      <c r="AQ38" s="15"/>
      <c r="AR38" s="15"/>
    </row>
    <row r="39" spans="1:44" ht="22.5" customHeight="1">
      <c r="A39" s="4" t="s">
        <v>168</v>
      </c>
      <c r="B39" s="7" t="str">
        <f t="shared" si="5"/>
        <v>🥈</v>
      </c>
      <c r="C39" s="4" t="s">
        <v>40</v>
      </c>
      <c r="D39" s="4" t="s">
        <v>169</v>
      </c>
      <c r="E39" s="4" t="s">
        <v>170</v>
      </c>
      <c r="F39" s="4" t="s">
        <v>171</v>
      </c>
      <c r="G39" s="36"/>
      <c r="H39" s="8" t="s">
        <v>172</v>
      </c>
      <c r="I39" s="7">
        <v>438</v>
      </c>
      <c r="J39" s="7">
        <v>447</v>
      </c>
      <c r="K39" s="7"/>
      <c r="L39" s="7">
        <v>430</v>
      </c>
      <c r="M39" s="16" t="s">
        <v>173</v>
      </c>
      <c r="N39" s="7"/>
      <c r="O39" s="10">
        <f>I39/(AG39*0.0951)</f>
        <v>1.2482629160435717E-2</v>
      </c>
      <c r="P39" s="7">
        <f t="shared" si="11"/>
        <v>2</v>
      </c>
      <c r="Q39" s="11">
        <f>(I39-L39)/L39</f>
        <v>1.8604651162790697E-2</v>
      </c>
      <c r="R39" s="7">
        <f t="shared" si="12"/>
        <v>1</v>
      </c>
      <c r="S39" s="7">
        <v>0</v>
      </c>
      <c r="T39" s="7">
        <v>1</v>
      </c>
      <c r="U39" s="7">
        <v>1</v>
      </c>
      <c r="V39" s="7">
        <v>0</v>
      </c>
      <c r="W39" s="7">
        <f t="shared" si="8"/>
        <v>5</v>
      </c>
      <c r="X39" s="7"/>
      <c r="Y39" s="7" t="s">
        <v>57</v>
      </c>
      <c r="Z39" s="7"/>
      <c r="AA39" s="7"/>
      <c r="AB39" s="7"/>
      <c r="AC39" s="7"/>
      <c r="AD39" s="7" t="s">
        <v>174</v>
      </c>
      <c r="AE39" s="25"/>
      <c r="AF39" s="7" t="s">
        <v>175</v>
      </c>
      <c r="AG39" s="452">
        <v>368967</v>
      </c>
      <c r="AH39" s="7"/>
      <c r="AI39" s="7"/>
      <c r="AJ39" s="7"/>
      <c r="AK39" s="7"/>
      <c r="AL39" s="7" t="s">
        <v>57</v>
      </c>
      <c r="AM39" s="7"/>
      <c r="AN39" s="4" t="e" vm="101">
        <v>#VALUE!</v>
      </c>
      <c r="AO39" s="15" cm="1" vm="102">
        <f t="array" aca="1" ref="AO39" ca="1">_FV(NTC_centri_2[[#This Row],[Grad2]],"Latitude")</f>
        <v>45.264444444444003</v>
      </c>
      <c r="AP39" s="15" cm="1" vm="103">
        <f t="array" aca="1" ref="AP39" ca="1">_FV(NTC_centri_2[[#This Row],[Grad2]],"Longitude")</f>
        <v>19.831666666667001</v>
      </c>
      <c r="AQ39" s="15"/>
      <c r="AR39" s="15"/>
    </row>
    <row r="40" spans="1:44" ht="22.5" customHeight="1">
      <c r="A40" s="7" t="s">
        <v>408</v>
      </c>
      <c r="B40" s="7" t="str">
        <f t="shared" si="5"/>
        <v>⚠️</v>
      </c>
      <c r="C40" s="4" t="s">
        <v>390</v>
      </c>
      <c r="D40" s="7" t="s">
        <v>409</v>
      </c>
      <c r="E40" s="39" t="s">
        <v>410</v>
      </c>
      <c r="F40" s="7" t="s">
        <v>411</v>
      </c>
      <c r="G40" s="8" t="s">
        <v>412</v>
      </c>
      <c r="H40" s="8" t="s">
        <v>413</v>
      </c>
      <c r="I40" s="7">
        <v>44</v>
      </c>
      <c r="J40" s="55">
        <v>48</v>
      </c>
      <c r="K40" s="55"/>
      <c r="L40" s="55">
        <v>44</v>
      </c>
      <c r="M40" s="446"/>
      <c r="N40" s="7"/>
      <c r="O40" s="10" t="e">
        <f>J40/(AG40*0.0951)</f>
        <v>#DIV/0!</v>
      </c>
      <c r="P40" s="7" t="e">
        <f t="shared" si="11"/>
        <v>#DIV/0!</v>
      </c>
      <c r="Q40" s="11" t="e">
        <f>(J40-#REF!)/#REF!</f>
        <v>#REF!</v>
      </c>
      <c r="R40" s="7" t="e">
        <f t="shared" si="12"/>
        <v>#REF!</v>
      </c>
      <c r="S40" s="7">
        <v>0</v>
      </c>
      <c r="T40" s="7">
        <v>1</v>
      </c>
      <c r="U40" s="7">
        <v>1</v>
      </c>
      <c r="V40" s="7">
        <v>0</v>
      </c>
      <c r="W40" s="7">
        <f t="shared" si="8"/>
        <v>0</v>
      </c>
      <c r="X40" s="7"/>
      <c r="Y40" s="7"/>
      <c r="Z40" s="7"/>
      <c r="AA40" s="7">
        <v>68</v>
      </c>
      <c r="AB40" s="7"/>
      <c r="AC40" s="446"/>
      <c r="AD40" s="7"/>
      <c r="AE40" s="53"/>
      <c r="AF40" s="7"/>
      <c r="AG40" s="17"/>
      <c r="AH40" s="7"/>
      <c r="AI40" s="7"/>
      <c r="AJ40" s="7" t="s">
        <v>57</v>
      </c>
      <c r="AK40" s="7"/>
      <c r="AL40" s="7" t="s">
        <v>57</v>
      </c>
      <c r="AM40" s="7"/>
      <c r="AN40" s="7" t="e" vm="104">
        <v>#VALUE!</v>
      </c>
      <c r="AO40" s="15" cm="1" vm="105">
        <f t="array" aca="1" ref="AO40" ca="1">_FV(NTC_centri_2[[#This Row],[Grad2]],"Latitude")</f>
        <v>45.560277777777998</v>
      </c>
      <c r="AP40" s="15" cm="1" vm="106">
        <f t="array" aca="1" ref="AP40" ca="1">_FV(NTC_centri_2[[#This Row],[Grad2]],"Longitude")</f>
        <v>18.670277777778001</v>
      </c>
      <c r="AQ40" s="15"/>
      <c r="AR40" s="15"/>
    </row>
    <row r="41" spans="1:44" ht="22.5" customHeight="1">
      <c r="A41" s="7" t="s">
        <v>79</v>
      </c>
      <c r="B41" s="7" t="str">
        <f t="shared" si="5"/>
        <v>🏆</v>
      </c>
      <c r="C41" s="4" t="s">
        <v>40</v>
      </c>
      <c r="D41" s="7" t="s">
        <v>80</v>
      </c>
      <c r="E41" s="7" t="s">
        <v>81</v>
      </c>
      <c r="F41" s="7" t="s">
        <v>82</v>
      </c>
      <c r="G41" s="8"/>
      <c r="H41" s="8" t="s">
        <v>83</v>
      </c>
      <c r="I41" s="7">
        <v>145</v>
      </c>
      <c r="J41" s="7">
        <v>138</v>
      </c>
      <c r="K41" s="7"/>
      <c r="L41" s="7">
        <v>110</v>
      </c>
      <c r="M41" s="34" t="s">
        <v>84</v>
      </c>
      <c r="N41" s="17">
        <v>3500</v>
      </c>
      <c r="O41" s="10">
        <f>I41/(AG41*0.0951)</f>
        <v>1.3206219192964485E-2</v>
      </c>
      <c r="P41" s="7">
        <f t="shared" si="11"/>
        <v>2</v>
      </c>
      <c r="Q41" s="11">
        <f>(I41-L41)/L41</f>
        <v>0.31818181818181818</v>
      </c>
      <c r="R41" s="7">
        <f t="shared" si="12"/>
        <v>2</v>
      </c>
      <c r="S41" s="7">
        <v>1</v>
      </c>
      <c r="T41" s="7">
        <v>1</v>
      </c>
      <c r="U41" s="7">
        <v>1</v>
      </c>
      <c r="V41" s="7">
        <v>0</v>
      </c>
      <c r="W41" s="7">
        <f t="shared" si="8"/>
        <v>7</v>
      </c>
      <c r="X41" s="7"/>
      <c r="Y41" s="7" t="s">
        <v>57</v>
      </c>
      <c r="Z41" s="7"/>
      <c r="AA41" s="7">
        <v>110</v>
      </c>
      <c r="AB41" s="7">
        <v>138</v>
      </c>
      <c r="AC41" s="7" t="s">
        <v>85</v>
      </c>
      <c r="AD41" s="7" t="s">
        <v>53</v>
      </c>
      <c r="AE41" s="20" t="s">
        <v>80</v>
      </c>
      <c r="AF41" s="7" t="s">
        <v>86</v>
      </c>
      <c r="AG41" s="17">
        <v>115454</v>
      </c>
      <c r="AH41" s="7" t="s">
        <v>68</v>
      </c>
      <c r="AI41" s="7" t="s">
        <v>57</v>
      </c>
      <c r="AJ41" s="7" t="s">
        <v>57</v>
      </c>
      <c r="AK41" s="7" t="s">
        <v>87</v>
      </c>
      <c r="AL41" s="7" t="s">
        <v>57</v>
      </c>
      <c r="AM41" s="7" t="s">
        <v>88</v>
      </c>
      <c r="AN41" s="7" t="e" vm="107">
        <v>#VALUE!</v>
      </c>
      <c r="AO41" s="15" cm="1" vm="108">
        <f t="array" aca="1" ref="AO41" ca="1">_FV(NTC_centri_2[[#This Row],[Grad2]],"Latitude")</f>
        <v>44.873888888888999</v>
      </c>
      <c r="AP41" s="15" cm="1" vm="109">
        <f t="array" aca="1" ref="AP41" ca="1">_FV(NTC_centri_2[[#This Row],[Grad2]],"Longitude")</f>
        <v>20.651944444443998</v>
      </c>
      <c r="AQ41" s="15"/>
      <c r="AR41" s="15"/>
    </row>
    <row r="42" spans="1:44" ht="32.25" customHeight="1">
      <c r="A42" s="7" t="s">
        <v>428</v>
      </c>
      <c r="B42" s="7" t="str">
        <f t="shared" si="5"/>
        <v>⚠️</v>
      </c>
      <c r="C42" s="4" t="s">
        <v>415</v>
      </c>
      <c r="D42" s="7" t="s">
        <v>429</v>
      </c>
      <c r="E42" s="24" t="s">
        <v>430</v>
      </c>
      <c r="F42" s="7" t="s">
        <v>431</v>
      </c>
      <c r="G42" s="8"/>
      <c r="H42" s="8">
        <f>385958197710</f>
        <v>385958197710</v>
      </c>
      <c r="I42" s="7"/>
      <c r="J42" s="55"/>
      <c r="K42" s="55"/>
      <c r="L42" s="55"/>
      <c r="M42" s="7"/>
      <c r="N42" s="7"/>
      <c r="O42" s="10" t="e">
        <f t="shared" ref="O42:O50" si="13">J42/(AG42*0.0951)</f>
        <v>#DIV/0!</v>
      </c>
      <c r="P42" s="7" t="e">
        <f t="shared" si="11"/>
        <v>#DIV/0!</v>
      </c>
      <c r="Q42" s="11" t="e">
        <f>(J42-#REF!)/#REF!</f>
        <v>#REF!</v>
      </c>
      <c r="R42" s="7" t="e">
        <f t="shared" si="12"/>
        <v>#REF!</v>
      </c>
      <c r="S42" s="7"/>
      <c r="T42" s="7"/>
      <c r="U42" s="7"/>
      <c r="V42" s="7"/>
      <c r="W42" s="7">
        <f t="shared" si="8"/>
        <v>0</v>
      </c>
      <c r="X42" s="7"/>
      <c r="Y42" s="7"/>
      <c r="Z42" s="7"/>
      <c r="AA42" s="7"/>
      <c r="AB42" s="7"/>
      <c r="AC42" s="37"/>
      <c r="AD42" s="7"/>
      <c r="AE42" s="46"/>
      <c r="AF42" s="7"/>
      <c r="AG42" s="453"/>
      <c r="AH42" s="7"/>
      <c r="AI42" s="7"/>
      <c r="AJ42" s="7"/>
      <c r="AK42" s="7"/>
      <c r="AL42" s="7"/>
      <c r="AM42" s="7"/>
      <c r="AN42" s="7" t="e" vm="110">
        <v>#VALUE!</v>
      </c>
      <c r="AO42" s="15" cm="1" vm="111">
        <f t="array" aca="1" ref="AO42" ca="1">_FV(NTC_centri_2[[#This Row],[Grad2]],"Latitude")</f>
        <v>45.239166666667003</v>
      </c>
      <c r="AP42" s="15" cm="1" vm="112">
        <f t="array" aca="1" ref="AP42" ca="1">_FV(NTC_centri_2[[#This Row],[Grad2]],"Longitude")</f>
        <v>13.938611111110999</v>
      </c>
      <c r="AQ42" s="15"/>
      <c r="AR42" s="15"/>
    </row>
    <row r="43" spans="1:44" ht="22.5" customHeight="1">
      <c r="A43" s="7" t="s">
        <v>462</v>
      </c>
      <c r="B43" s="7" t="str">
        <f t="shared" si="5"/>
        <v>⚠️</v>
      </c>
      <c r="C43" s="7" t="s">
        <v>433</v>
      </c>
      <c r="D43" s="7" t="s">
        <v>463</v>
      </c>
      <c r="E43" s="7" t="s">
        <v>464</v>
      </c>
      <c r="F43" s="7" t="s">
        <v>465</v>
      </c>
      <c r="G43" s="8" t="s">
        <v>466</v>
      </c>
      <c r="H43" s="8" t="s">
        <v>467</v>
      </c>
      <c r="I43" s="7">
        <v>28</v>
      </c>
      <c r="J43" s="55">
        <v>49</v>
      </c>
      <c r="K43" s="42"/>
      <c r="L43" s="55">
        <v>48</v>
      </c>
      <c r="M43" s="27" t="s">
        <v>468</v>
      </c>
      <c r="N43" s="7"/>
      <c r="O43" s="10" t="e">
        <f t="shared" si="13"/>
        <v>#DIV/0!</v>
      </c>
      <c r="P43" s="7" t="e">
        <f t="shared" si="11"/>
        <v>#DIV/0!</v>
      </c>
      <c r="Q43" s="11" t="e">
        <f>(J43-#REF!)/#REF!</f>
        <v>#REF!</v>
      </c>
      <c r="R43" s="7" t="e">
        <f t="shared" si="12"/>
        <v>#REF!</v>
      </c>
      <c r="S43" s="7">
        <v>0</v>
      </c>
      <c r="T43" s="7">
        <v>1</v>
      </c>
      <c r="U43" s="7">
        <v>1</v>
      </c>
      <c r="V43" s="7">
        <v>0</v>
      </c>
      <c r="W43" s="7">
        <f t="shared" si="8"/>
        <v>0</v>
      </c>
      <c r="X43" s="7"/>
      <c r="Y43" s="7" t="s">
        <v>45</v>
      </c>
      <c r="Z43" s="7"/>
      <c r="AA43" s="7">
        <v>72</v>
      </c>
      <c r="AB43" s="7"/>
      <c r="AC43" s="7"/>
      <c r="AD43" s="7" t="s">
        <v>376</v>
      </c>
      <c r="AE43" s="7"/>
      <c r="AF43" s="7"/>
      <c r="AG43" s="13"/>
      <c r="AH43" s="7"/>
      <c r="AI43" s="7"/>
      <c r="AJ43" s="7"/>
      <c r="AK43" s="7"/>
      <c r="AL43" s="7" t="s">
        <v>57</v>
      </c>
      <c r="AM43" s="7"/>
      <c r="AN43" s="7" t="e" vm="113">
        <v>#VALUE!</v>
      </c>
      <c r="AO43" s="15" cm="1" vm="114">
        <f t="array" aca="1" ref="AO43" ca="1">_FV(NTC_centri_2[[#This Row],[Grad2]],"Latitude")</f>
        <v>42.441388888888902</v>
      </c>
      <c r="AP43" s="15" cm="1" vm="115">
        <f t="array" aca="1" ref="AP43" ca="1">_FV(NTC_centri_2[[#This Row],[Grad2]],"Longitude")</f>
        <v>19.262777777777799</v>
      </c>
      <c r="AQ43" s="15"/>
      <c r="AR43" s="15"/>
    </row>
    <row r="44" spans="1:44" ht="22.5" customHeight="1">
      <c r="A44" s="4" t="s">
        <v>324</v>
      </c>
      <c r="B44" s="7" t="str">
        <f t="shared" si="5"/>
        <v>⚠️</v>
      </c>
      <c r="C44" s="4" t="s">
        <v>40</v>
      </c>
      <c r="D44" s="4" t="s">
        <v>325</v>
      </c>
      <c r="E44" s="24" t="s">
        <v>326</v>
      </c>
      <c r="F44" s="7" t="s">
        <v>327</v>
      </c>
      <c r="G44" s="32"/>
      <c r="H44" s="8" t="s">
        <v>328</v>
      </c>
      <c r="I44" s="12"/>
      <c r="J44" s="7">
        <v>1</v>
      </c>
      <c r="K44" s="7"/>
      <c r="L44" s="7"/>
      <c r="M44" s="40" t="s">
        <v>329</v>
      </c>
      <c r="N44" s="17">
        <v>3900</v>
      </c>
      <c r="O44" s="10">
        <f t="shared" si="13"/>
        <v>1.5317630678689901E-4</v>
      </c>
      <c r="P44" s="7">
        <f t="shared" si="11"/>
        <v>0</v>
      </c>
      <c r="Q44" s="11" t="e">
        <f>(J44-#REF!)/#REF!</f>
        <v>#REF!</v>
      </c>
      <c r="R44" s="7" t="e">
        <f t="shared" si="12"/>
        <v>#REF!</v>
      </c>
      <c r="S44" s="7"/>
      <c r="T44" s="7"/>
      <c r="U44" s="7"/>
      <c r="V44" s="7"/>
      <c r="W44" s="7">
        <f t="shared" si="8"/>
        <v>0</v>
      </c>
      <c r="X44" s="7"/>
      <c r="Y44" s="7" t="s">
        <v>57</v>
      </c>
      <c r="Z44" s="7"/>
      <c r="AA44" s="7"/>
      <c r="AB44" s="7"/>
      <c r="AC44" s="12" t="s">
        <v>330</v>
      </c>
      <c r="AD44" s="7" t="s">
        <v>53</v>
      </c>
      <c r="AE44" s="20" t="s">
        <v>325</v>
      </c>
      <c r="AF44" s="7" t="s">
        <v>320</v>
      </c>
      <c r="AG44" s="41">
        <v>68648</v>
      </c>
      <c r="AH44" s="7" t="s">
        <v>68</v>
      </c>
      <c r="AI44" s="7" t="s">
        <v>57</v>
      </c>
      <c r="AJ44" s="7" t="s">
        <v>57</v>
      </c>
      <c r="AK44" s="7" t="s">
        <v>331</v>
      </c>
      <c r="AL44" s="7" t="s">
        <v>57</v>
      </c>
      <c r="AM44" s="7" t="s">
        <v>59</v>
      </c>
      <c r="AN44" s="4" t="e" vm="116">
        <v>#VALUE!</v>
      </c>
      <c r="AO44" s="15" cm="1" vm="117">
        <f t="array" aca="1" ref="AO44" ca="1">_FV(NTC_centri_2[[#This Row],[Grad2]],"Latitude")</f>
        <v>44.62</v>
      </c>
      <c r="AP44" s="15" cm="1" vm="118">
        <f t="array" aca="1" ref="AP44" ca="1">_FV(NTC_centri_2[[#This Row],[Grad2]],"Longitude")</f>
        <v>21.189722222221999</v>
      </c>
      <c r="AQ44" s="15"/>
      <c r="AR44" s="15"/>
    </row>
    <row r="45" spans="1:44" ht="22.5" customHeight="1">
      <c r="A45" s="7" t="s">
        <v>779</v>
      </c>
      <c r="B45" s="7" t="str">
        <f t="shared" si="5"/>
        <v>⚠️</v>
      </c>
      <c r="C45" s="4" t="s">
        <v>415</v>
      </c>
      <c r="D45" s="7" t="s">
        <v>420</v>
      </c>
      <c r="E45" s="24" t="s">
        <v>421</v>
      </c>
      <c r="F45" s="7" t="s">
        <v>422</v>
      </c>
      <c r="G45" s="8" t="s">
        <v>423</v>
      </c>
      <c r="H45" s="8">
        <f>385958197710</f>
        <v>385958197710</v>
      </c>
      <c r="I45" s="7">
        <v>1</v>
      </c>
      <c r="J45" s="55">
        <v>1</v>
      </c>
      <c r="K45" s="55">
        <v>1</v>
      </c>
      <c r="L45" s="55">
        <v>1</v>
      </c>
      <c r="M45" s="446"/>
      <c r="N45" s="7"/>
      <c r="O45" s="10" t="e">
        <f t="shared" si="13"/>
        <v>#DIV/0!</v>
      </c>
      <c r="P45" s="7" t="e">
        <f t="shared" si="11"/>
        <v>#DIV/0!</v>
      </c>
      <c r="Q45" s="11" t="e">
        <f>(J45-#REF!)/#REF!</f>
        <v>#REF!</v>
      </c>
      <c r="R45" s="7" t="e">
        <f t="shared" si="12"/>
        <v>#REF!</v>
      </c>
      <c r="S45" s="7"/>
      <c r="T45" s="7"/>
      <c r="U45" s="7"/>
      <c r="V45" s="7"/>
      <c r="W45" s="7">
        <f t="shared" si="8"/>
        <v>0</v>
      </c>
      <c r="X45" s="7"/>
      <c r="Y45" s="7"/>
      <c r="Z45" s="7">
        <v>1</v>
      </c>
      <c r="AA45" s="7">
        <v>1</v>
      </c>
      <c r="AB45" s="7">
        <v>1</v>
      </c>
      <c r="AC45" s="7"/>
      <c r="AD45" s="7" t="s">
        <v>376</v>
      </c>
      <c r="AE45" s="46"/>
      <c r="AF45" s="7"/>
      <c r="AG45" s="13"/>
      <c r="AH45" s="7"/>
      <c r="AI45" s="7"/>
      <c r="AJ45" s="7"/>
      <c r="AK45" s="7"/>
      <c r="AL45" s="7"/>
      <c r="AM45" s="7"/>
      <c r="AN45" s="7" t="e" vm="119">
        <v>#VALUE!</v>
      </c>
      <c r="AO45" s="15" cm="1" vm="120">
        <f t="array" aca="1" ref="AO45" ca="1">_FV(NTC_centri_2[[#This Row],[Grad2]],"Latitude")</f>
        <v>44.870277777777801</v>
      </c>
      <c r="AP45" s="15" cm="1" vm="121">
        <f t="array" aca="1" ref="AP45" ca="1">_FV(NTC_centri_2[[#This Row],[Grad2]],"Longitude")</f>
        <v>13.845555555555601</v>
      </c>
      <c r="AQ45" s="15"/>
      <c r="AR45" s="15"/>
    </row>
    <row r="46" spans="1:44" ht="22.5" customHeight="1">
      <c r="A46" s="47" t="s">
        <v>365</v>
      </c>
      <c r="B46" s="7" t="e">
        <f>IF(W46&lt;4, "⚙️",IF(AND(W46&gt;3, W46&lt;7), "🥈",IF(AND(W46&gt;6, W46&lt;9), "🏆",IF(W46&gt;8, "💎",0))))</f>
        <v>#DIV/0!</v>
      </c>
      <c r="C46" s="48" t="s">
        <v>40</v>
      </c>
      <c r="D46" s="47" t="s">
        <v>366</v>
      </c>
      <c r="E46" s="7" t="s">
        <v>367</v>
      </c>
      <c r="F46" s="47" t="s">
        <v>368</v>
      </c>
      <c r="G46" s="49"/>
      <c r="H46" s="49" t="s">
        <v>369</v>
      </c>
      <c r="I46" s="50"/>
      <c r="J46" s="30"/>
      <c r="K46" s="30"/>
      <c r="L46" s="30"/>
      <c r="M46" s="51"/>
      <c r="N46" s="30"/>
      <c r="O46" s="10" t="e">
        <f t="shared" si="13"/>
        <v>#DIV/0!</v>
      </c>
      <c r="P46" s="50" t="e">
        <f t="shared" si="11"/>
        <v>#DIV/0!</v>
      </c>
      <c r="Q46" s="11" t="e">
        <f>(J46-#REF!)/#REF!</f>
        <v>#REF!</v>
      </c>
      <c r="R46" s="7" t="e">
        <f t="shared" si="12"/>
        <v>#REF!</v>
      </c>
      <c r="S46" s="7">
        <v>0</v>
      </c>
      <c r="T46" s="7">
        <v>1</v>
      </c>
      <c r="U46" s="7">
        <v>1</v>
      </c>
      <c r="V46" s="7">
        <v>0</v>
      </c>
      <c r="W46" s="7" t="e">
        <f>P46+R46+S46+T46+U46+V46</f>
        <v>#DIV/0!</v>
      </c>
      <c r="X46" s="50"/>
      <c r="Y46" s="50"/>
      <c r="Z46" s="30"/>
      <c r="AA46" s="30"/>
      <c r="AB46" s="30"/>
      <c r="AC46" s="30"/>
      <c r="AD46" s="30"/>
      <c r="AE46" s="30"/>
      <c r="AF46" s="30"/>
      <c r="AG46" s="52"/>
      <c r="AH46" s="30"/>
      <c r="AI46" s="7"/>
      <c r="AJ46" s="50"/>
      <c r="AK46" s="50"/>
      <c r="AL46" s="7" t="s">
        <v>45</v>
      </c>
      <c r="AM46" s="12"/>
      <c r="AN46" s="7" t="s">
        <v>1376</v>
      </c>
      <c r="AO46" s="15" t="e" cm="1" vm="1">
        <f t="array" ref="AO46">_FV(NTC_centri_2[[#This Row],[Grad2]],"Latitude")</f>
        <v>#VALUE!</v>
      </c>
      <c r="AP46" s="15" t="e" cm="1" vm="2">
        <f t="array" ref="AP46">_FV(NTC_centri_2[[#This Row],[Grad2]],"Longitude")</f>
        <v>#VALUE!</v>
      </c>
      <c r="AQ46" s="15"/>
      <c r="AR46" s="15"/>
    </row>
    <row r="47" spans="1:44" ht="22.5" customHeight="1">
      <c r="A47" s="7" t="s">
        <v>1376</v>
      </c>
      <c r="B47" s="7" t="str">
        <f t="shared" ref="B47:B74" si="14">IFERROR(IF(W47&lt;1, "⚠️",IF(AND(W47&gt;0, W47&lt;4), "⚙️",IF(AND(W47&gt;3, W47&lt;7), "🥈",IF(AND(W47&gt;6, W47&lt;9), "🏆",IF(W47&gt;8, "💎",0))))), "⚠️")</f>
        <v>⚠️</v>
      </c>
      <c r="C47" s="7" t="s">
        <v>390</v>
      </c>
      <c r="D47" s="7" t="s">
        <v>391</v>
      </c>
      <c r="E47" s="7" t="s">
        <v>392</v>
      </c>
      <c r="F47" s="7" t="s">
        <v>393</v>
      </c>
      <c r="G47" s="8"/>
      <c r="H47" s="8"/>
      <c r="I47" s="12"/>
      <c r="J47" s="7"/>
      <c r="K47" s="7"/>
      <c r="L47" s="7"/>
      <c r="M47" s="7"/>
      <c r="N47" s="7"/>
      <c r="O47" s="10" t="e">
        <f t="shared" si="13"/>
        <v>#DIV/0!</v>
      </c>
      <c r="P47" s="7" t="e">
        <f t="shared" si="11"/>
        <v>#DIV/0!</v>
      </c>
      <c r="Q47" s="11" t="e">
        <f>(J47-#REF!)/#REF!</f>
        <v>#REF!</v>
      </c>
      <c r="R47" s="7" t="e">
        <f t="shared" si="12"/>
        <v>#REF!</v>
      </c>
      <c r="S47" s="7">
        <v>0</v>
      </c>
      <c r="T47" s="7">
        <v>1</v>
      </c>
      <c r="U47" s="7">
        <v>1</v>
      </c>
      <c r="V47" s="7">
        <v>0</v>
      </c>
      <c r="W47" s="7">
        <f t="shared" ref="W47:W74" si="15">IFERROR(P47+R47+S47+T47+U47+V47,0)</f>
        <v>0</v>
      </c>
      <c r="X47" s="7"/>
      <c r="Y47" s="7" t="s">
        <v>45</v>
      </c>
      <c r="Z47" s="7"/>
      <c r="AA47" s="7">
        <v>1</v>
      </c>
      <c r="AB47" s="7"/>
      <c r="AC47" s="7"/>
      <c r="AD47" s="7"/>
      <c r="AE47" s="53"/>
      <c r="AF47" s="7"/>
      <c r="AG47" s="17"/>
      <c r="AH47" s="7"/>
      <c r="AI47" s="7"/>
      <c r="AJ47" s="7" t="s">
        <v>57</v>
      </c>
      <c r="AK47" s="7"/>
      <c r="AL47" s="7" t="s">
        <v>57</v>
      </c>
      <c r="AM47" s="7"/>
      <c r="AN47" s="7" t="e" vm="122">
        <v>#VALUE!</v>
      </c>
      <c r="AO47" s="15" cm="1" vm="123">
        <f t="array" aca="1" ref="AO47" ca="1">_FV(NTC_centri_2[[#This Row],[Grad2]],"Latitude")</f>
        <v>46.166400000000003</v>
      </c>
      <c r="AP47" s="15" cm="1" vm="124">
        <f t="array" aca="1" ref="AP47" ca="1">_FV(NTC_centri_2[[#This Row],[Grad2]],"Longitude")</f>
        <v>15.9236</v>
      </c>
      <c r="AQ47" s="15"/>
      <c r="AR47" s="15"/>
    </row>
    <row r="48" spans="1:44" ht="22.5" customHeight="1">
      <c r="A48" s="7" t="s">
        <v>377</v>
      </c>
      <c r="B48" s="7" t="str">
        <f t="shared" si="14"/>
        <v>⚠️</v>
      </c>
      <c r="C48" s="7" t="s">
        <v>371</v>
      </c>
      <c r="D48" s="7" t="s">
        <v>378</v>
      </c>
      <c r="E48" s="7" t="s">
        <v>379</v>
      </c>
      <c r="F48" s="7" t="s">
        <v>380</v>
      </c>
      <c r="G48" s="8" t="s">
        <v>381</v>
      </c>
      <c r="H48" s="8" t="s">
        <v>382</v>
      </c>
      <c r="I48" s="50"/>
      <c r="J48" s="7"/>
      <c r="K48" s="7"/>
      <c r="L48" s="7"/>
      <c r="M48" s="7"/>
      <c r="N48" s="7"/>
      <c r="O48" s="10" t="e">
        <f t="shared" si="13"/>
        <v>#DIV/0!</v>
      </c>
      <c r="P48" s="7" t="e">
        <f t="shared" si="11"/>
        <v>#DIV/0!</v>
      </c>
      <c r="Q48" s="11" t="e">
        <f>(J48-#REF!)/#REF!</f>
        <v>#REF!</v>
      </c>
      <c r="R48" s="7" t="e">
        <f t="shared" si="12"/>
        <v>#REF!</v>
      </c>
      <c r="S48" s="7">
        <v>0</v>
      </c>
      <c r="T48" s="7">
        <v>1</v>
      </c>
      <c r="U48" s="7">
        <v>1</v>
      </c>
      <c r="V48" s="7">
        <v>0</v>
      </c>
      <c r="W48" s="7">
        <f t="shared" si="15"/>
        <v>0</v>
      </c>
      <c r="X48" s="7"/>
      <c r="Y48" s="7" t="s">
        <v>45</v>
      </c>
      <c r="Z48" s="7"/>
      <c r="AA48" s="7"/>
      <c r="AB48" s="7"/>
      <c r="AC48" s="7"/>
      <c r="AD48" s="7" t="s">
        <v>376</v>
      </c>
      <c r="AE48" s="7"/>
      <c r="AF48" s="7"/>
      <c r="AG48" s="17"/>
      <c r="AH48" s="7"/>
      <c r="AI48" s="7"/>
      <c r="AJ48" s="7" t="s">
        <v>57</v>
      </c>
      <c r="AK48" s="7"/>
      <c r="AL48" s="7" t="s">
        <v>45</v>
      </c>
      <c r="AM48" s="7"/>
      <c r="AN48" s="7" t="s">
        <v>504</v>
      </c>
      <c r="AO48" s="15" t="e" cm="1" vm="1">
        <f t="array" ref="AO48">_FV(NTC_centri_2[[#This Row],[Grad2]],"Latitude")</f>
        <v>#VALUE!</v>
      </c>
      <c r="AP48" s="15" t="e" cm="1" vm="2">
        <f t="array" ref="AP48">_FV(NTC_centri_2[[#This Row],[Grad2]],"Longitude")</f>
        <v>#VALUE!</v>
      </c>
      <c r="AQ48" s="15"/>
      <c r="AR48" s="15"/>
    </row>
    <row r="49" spans="1:44" ht="22.5" customHeight="1">
      <c r="A49" s="7" t="s">
        <v>414</v>
      </c>
      <c r="B49" s="7" t="str">
        <f t="shared" si="14"/>
        <v>⚠️</v>
      </c>
      <c r="C49" s="4" t="s">
        <v>415</v>
      </c>
      <c r="D49" s="7" t="s">
        <v>416</v>
      </c>
      <c r="E49" s="24" t="s">
        <v>417</v>
      </c>
      <c r="F49" s="7" t="s">
        <v>418</v>
      </c>
      <c r="G49" s="8" t="s">
        <v>419</v>
      </c>
      <c r="H49" s="8"/>
      <c r="I49" s="7">
        <v>138</v>
      </c>
      <c r="J49" s="55">
        <v>1</v>
      </c>
      <c r="K49" s="55">
        <v>1</v>
      </c>
      <c r="L49" s="55">
        <v>1</v>
      </c>
      <c r="M49" s="7"/>
      <c r="N49" s="7"/>
      <c r="O49" s="10" t="e">
        <f t="shared" si="13"/>
        <v>#DIV/0!</v>
      </c>
      <c r="P49" s="7" t="e">
        <f t="shared" si="11"/>
        <v>#DIV/0!</v>
      </c>
      <c r="Q49" s="11" t="e">
        <f>(J49-#REF!)/#REF!</f>
        <v>#REF!</v>
      </c>
      <c r="R49" s="7" t="e">
        <f t="shared" si="12"/>
        <v>#REF!</v>
      </c>
      <c r="S49" s="7"/>
      <c r="T49" s="7"/>
      <c r="U49" s="7"/>
      <c r="V49" s="7"/>
      <c r="W49" s="7">
        <f t="shared" si="15"/>
        <v>0</v>
      </c>
      <c r="X49" s="7"/>
      <c r="Y49" s="7"/>
      <c r="Z49" s="7"/>
      <c r="AA49" s="7">
        <v>1</v>
      </c>
      <c r="AB49" s="7"/>
      <c r="AC49" s="7"/>
      <c r="AD49" s="7"/>
      <c r="AE49" s="46"/>
      <c r="AF49" s="7"/>
      <c r="AG49" s="13"/>
      <c r="AH49" s="7"/>
      <c r="AI49" s="7"/>
      <c r="AJ49" s="7"/>
      <c r="AK49" s="7"/>
      <c r="AL49" s="7"/>
      <c r="AM49" s="7"/>
      <c r="AN49" s="7" t="e" vm="125">
        <v>#VALUE!</v>
      </c>
      <c r="AO49" s="15" cm="1" vm="126">
        <f t="array" aca="1" ref="AO49" ca="1">_FV(NTC_centri_2[[#This Row],[Grad2]],"Latitude")</f>
        <v>45.3333333333333</v>
      </c>
      <c r="AP49" s="15" cm="1" vm="127">
        <f t="array" aca="1" ref="AP49" ca="1">_FV(NTC_centri_2[[#This Row],[Grad2]],"Longitude")</f>
        <v>14.4333333333333</v>
      </c>
      <c r="AQ49" s="15"/>
      <c r="AR49" s="15"/>
    </row>
    <row r="50" spans="1:44" ht="22.5" customHeight="1">
      <c r="A50" s="7" t="s">
        <v>504</v>
      </c>
      <c r="B50" s="7" t="str">
        <f t="shared" si="14"/>
        <v>⚠️</v>
      </c>
      <c r="C50" s="4" t="s">
        <v>470</v>
      </c>
      <c r="D50" s="7" t="s">
        <v>498</v>
      </c>
      <c r="E50" s="7" t="s">
        <v>499</v>
      </c>
      <c r="F50" s="7"/>
      <c r="G50" s="7" t="s">
        <v>501</v>
      </c>
      <c r="H50" s="5" t="s">
        <v>502</v>
      </c>
      <c r="I50" s="7">
        <v>66</v>
      </c>
      <c r="J50" s="55">
        <v>42</v>
      </c>
      <c r="K50" s="68"/>
      <c r="L50" s="69">
        <v>40</v>
      </c>
      <c r="M50" s="67"/>
      <c r="N50" s="7">
        <v>55</v>
      </c>
      <c r="O50" s="10" t="e">
        <f t="shared" si="13"/>
        <v>#DIV/0!</v>
      </c>
      <c r="P50" s="7" t="e">
        <f t="shared" si="11"/>
        <v>#DIV/0!</v>
      </c>
      <c r="Q50" s="11" t="e">
        <f>J50/#REF!</f>
        <v>#REF!</v>
      </c>
      <c r="R50" s="7" t="e">
        <f t="shared" si="12"/>
        <v>#REF!</v>
      </c>
      <c r="S50" s="7">
        <v>0</v>
      </c>
      <c r="T50" s="7">
        <v>1</v>
      </c>
      <c r="U50" s="7">
        <v>1</v>
      </c>
      <c r="V50" s="7">
        <v>0</v>
      </c>
      <c r="W50" s="7">
        <f t="shared" si="15"/>
        <v>0</v>
      </c>
      <c r="X50" s="7"/>
      <c r="Y50" s="7"/>
      <c r="Z50" s="7"/>
      <c r="AA50" s="7">
        <v>1</v>
      </c>
      <c r="AB50" s="7"/>
      <c r="AC50" s="7"/>
      <c r="AD50" s="7" t="s">
        <v>376</v>
      </c>
      <c r="AE50" s="7"/>
      <c r="AF50" s="7"/>
      <c r="AG50" s="13"/>
      <c r="AH50" s="7"/>
      <c r="AI50" s="7"/>
      <c r="AJ50" s="7" t="s">
        <v>57</v>
      </c>
      <c r="AK50" s="7"/>
      <c r="AL50" s="7" t="s">
        <v>57</v>
      </c>
      <c r="AM50" s="7"/>
      <c r="AN50" s="7" t="e" vm="128">
        <v>#VALUE!</v>
      </c>
      <c r="AO50" s="15" cm="1" vm="129">
        <f t="array" aca="1" ref="AO50" ca="1">_FV(NTC_centri_2[[#This Row],[Grad2]],"Latitude")</f>
        <v>43.798888888889003</v>
      </c>
      <c r="AP50" s="15" cm="1" vm="130">
        <f t="array" aca="1" ref="AP50" ca="1">_FV(NTC_centri_2[[#This Row],[Grad2]],"Longitude")</f>
        <v>19.003611111110999</v>
      </c>
      <c r="AQ50" s="15"/>
      <c r="AR50" s="15"/>
    </row>
    <row r="51" spans="1:44" ht="22.5" customHeight="1">
      <c r="A51" s="7" t="s">
        <v>210</v>
      </c>
      <c r="B51" s="7" t="str">
        <f t="shared" si="14"/>
        <v>🥈</v>
      </c>
      <c r="C51" s="4" t="s">
        <v>40</v>
      </c>
      <c r="D51" s="7" t="s">
        <v>211</v>
      </c>
      <c r="E51" s="7" t="s">
        <v>212</v>
      </c>
      <c r="F51" s="4" t="s">
        <v>213</v>
      </c>
      <c r="G51" s="8"/>
      <c r="H51" s="8" t="s">
        <v>214</v>
      </c>
      <c r="I51" s="7">
        <v>61</v>
      </c>
      <c r="J51" s="7">
        <v>65</v>
      </c>
      <c r="K51" s="7"/>
      <c r="L51" s="7">
        <v>51</v>
      </c>
      <c r="M51" s="22" t="s">
        <v>215</v>
      </c>
      <c r="N51" s="17">
        <v>3600</v>
      </c>
      <c r="O51" s="10">
        <f>I51/(AG51*0.0951)</f>
        <v>6.0838272403703781E-3</v>
      </c>
      <c r="P51" s="7">
        <f t="shared" si="11"/>
        <v>0</v>
      </c>
      <c r="Q51" s="11">
        <f>(I51-L51)/L51</f>
        <v>0.19607843137254902</v>
      </c>
      <c r="R51" s="7">
        <f t="shared" si="12"/>
        <v>2</v>
      </c>
      <c r="S51" s="7">
        <v>0</v>
      </c>
      <c r="T51" s="7">
        <v>1</v>
      </c>
      <c r="U51" s="7">
        <v>1</v>
      </c>
      <c r="V51" s="7">
        <v>0</v>
      </c>
      <c r="W51" s="7">
        <f t="shared" si="15"/>
        <v>4</v>
      </c>
      <c r="X51" s="7"/>
      <c r="Y51" s="7" t="s">
        <v>45</v>
      </c>
      <c r="Z51" s="7">
        <v>43</v>
      </c>
      <c r="AA51" s="7">
        <v>51</v>
      </c>
      <c r="AB51" s="7">
        <v>59</v>
      </c>
      <c r="AC51" s="7"/>
      <c r="AD51" s="7" t="s">
        <v>53</v>
      </c>
      <c r="AE51" s="18" t="s">
        <v>216</v>
      </c>
      <c r="AF51" s="7" t="s">
        <v>180</v>
      </c>
      <c r="AG51" s="17">
        <v>105432</v>
      </c>
      <c r="AH51" s="7" t="s">
        <v>96</v>
      </c>
      <c r="AI51" s="7" t="s">
        <v>57</v>
      </c>
      <c r="AJ51" s="7" t="s">
        <v>57</v>
      </c>
      <c r="AK51" s="7" t="s">
        <v>217</v>
      </c>
      <c r="AL51" s="7" t="s">
        <v>57</v>
      </c>
      <c r="AM51" s="7" t="s">
        <v>59</v>
      </c>
      <c r="AN51" s="7" t="e" vm="131">
        <v>#VALUE!</v>
      </c>
      <c r="AO51" s="15" cm="1" vm="132">
        <f t="array" aca="1" ref="AO51" ca="1">_FV(NTC_centri_2[[#This Row],[Grad2]],"Latitude")</f>
        <v>44.755833333333001</v>
      </c>
      <c r="AP51" s="15" cm="1" vm="133">
        <f t="array" aca="1" ref="AP51" ca="1">_FV(NTC_centri_2[[#This Row],[Grad2]],"Longitude")</f>
        <v>19.693888888888999</v>
      </c>
      <c r="AQ51" s="15"/>
      <c r="AR51" s="15"/>
    </row>
    <row r="52" spans="1:44" ht="22.5" customHeight="1">
      <c r="A52" s="7" t="s">
        <v>398</v>
      </c>
      <c r="B52" s="7" t="str">
        <f t="shared" si="14"/>
        <v>⚠️</v>
      </c>
      <c r="C52" s="7" t="s">
        <v>390</v>
      </c>
      <c r="D52" s="7" t="s">
        <v>399</v>
      </c>
      <c r="E52" s="7"/>
      <c r="F52" s="7"/>
      <c r="G52" s="8" t="s">
        <v>400</v>
      </c>
      <c r="H52" s="8" t="s">
        <v>401</v>
      </c>
      <c r="I52" s="50"/>
      <c r="J52" s="57">
        <v>40</v>
      </c>
      <c r="K52" s="57"/>
      <c r="L52" s="57">
        <v>41</v>
      </c>
      <c r="M52" s="56"/>
      <c r="N52" s="7"/>
      <c r="O52" s="10" t="e">
        <f>J52/(AG52*0.0951)</f>
        <v>#DIV/0!</v>
      </c>
      <c r="P52" s="7" t="e">
        <f t="shared" si="11"/>
        <v>#DIV/0!</v>
      </c>
      <c r="Q52" s="11" t="e">
        <f>(J52-#REF!)/#REF!</f>
        <v>#REF!</v>
      </c>
      <c r="R52" s="7" t="e">
        <f t="shared" si="12"/>
        <v>#REF!</v>
      </c>
      <c r="S52" s="7"/>
      <c r="T52" s="7"/>
      <c r="U52" s="7"/>
      <c r="V52" s="7"/>
      <c r="W52" s="7">
        <f t="shared" si="15"/>
        <v>0</v>
      </c>
      <c r="X52" s="7"/>
      <c r="Y52" s="7"/>
      <c r="Z52" s="7"/>
      <c r="AA52" s="7"/>
      <c r="AB52" s="7"/>
      <c r="AC52" s="7"/>
      <c r="AD52" s="7"/>
      <c r="AE52" s="7"/>
      <c r="AF52" s="7"/>
      <c r="AG52" s="17"/>
      <c r="AH52" s="7"/>
      <c r="AI52" s="7"/>
      <c r="AJ52" s="7" t="s">
        <v>57</v>
      </c>
      <c r="AK52" s="7"/>
      <c r="AL52" s="7" t="s">
        <v>45</v>
      </c>
      <c r="AM52" s="7"/>
      <c r="AN52" s="7" t="s">
        <v>70</v>
      </c>
      <c r="AO52" s="15" t="e" cm="1" vm="1">
        <f t="array" ref="AO52">_FV(NTC_centri_2[[#This Row],[Grad2]],"Latitude")</f>
        <v>#VALUE!</v>
      </c>
      <c r="AP52" s="15" t="e" cm="1" vm="2">
        <f t="array" ref="AP52">_FV(NTC_centri_2[[#This Row],[Grad2]],"Longitude")</f>
        <v>#VALUE!</v>
      </c>
      <c r="AQ52" s="15"/>
      <c r="AR52" s="15"/>
    </row>
    <row r="53" spans="1:44" ht="22.5" customHeight="1">
      <c r="A53" s="7" t="s">
        <v>70</v>
      </c>
      <c r="B53" s="7" t="str">
        <f t="shared" si="14"/>
        <v>🏆</v>
      </c>
      <c r="C53" s="4" t="s">
        <v>40</v>
      </c>
      <c r="D53" s="4" t="s">
        <v>71</v>
      </c>
      <c r="E53" s="7" t="s">
        <v>72</v>
      </c>
      <c r="F53" s="7" t="s">
        <v>73</v>
      </c>
      <c r="G53" s="8"/>
      <c r="H53" s="8" t="s">
        <v>74</v>
      </c>
      <c r="I53" s="7">
        <v>47</v>
      </c>
      <c r="J53" s="37">
        <v>47</v>
      </c>
      <c r="K53" s="7"/>
      <c r="L53" s="37">
        <v>1</v>
      </c>
      <c r="M53" s="70" t="s">
        <v>75</v>
      </c>
      <c r="N53" s="17">
        <v>3200</v>
      </c>
      <c r="O53" s="10">
        <f>I53/(AG53*0.0951)</f>
        <v>3.5341577094567443E-2</v>
      </c>
      <c r="P53" s="7">
        <f t="shared" si="11"/>
        <v>3</v>
      </c>
      <c r="Q53" s="11">
        <f>(I53-L53)/L53</f>
        <v>46</v>
      </c>
      <c r="R53" s="7">
        <f t="shared" si="12"/>
        <v>2</v>
      </c>
      <c r="S53" s="7">
        <v>0</v>
      </c>
      <c r="T53" s="7">
        <v>1</v>
      </c>
      <c r="U53" s="7">
        <v>1</v>
      </c>
      <c r="V53" s="7">
        <v>0</v>
      </c>
      <c r="W53" s="7">
        <f t="shared" si="15"/>
        <v>7</v>
      </c>
      <c r="X53" s="7"/>
      <c r="Y53" s="7" t="s">
        <v>57</v>
      </c>
      <c r="Z53" s="7"/>
      <c r="AA53" s="7"/>
      <c r="AB53" s="7">
        <v>46</v>
      </c>
      <c r="AC53" s="7" t="s">
        <v>76</v>
      </c>
      <c r="AD53" s="7" t="s">
        <v>53</v>
      </c>
      <c r="AE53" s="18" t="s">
        <v>71</v>
      </c>
      <c r="AF53" s="7" t="s">
        <v>77</v>
      </c>
      <c r="AG53" s="17">
        <v>13984</v>
      </c>
      <c r="AH53" s="7" t="s">
        <v>68</v>
      </c>
      <c r="AI53" s="7" t="s">
        <v>57</v>
      </c>
      <c r="AJ53" s="7" t="s">
        <v>57</v>
      </c>
      <c r="AK53" s="7" t="s">
        <v>78</v>
      </c>
      <c r="AL53" s="7" t="s">
        <v>57</v>
      </c>
      <c r="AM53" s="7" t="s">
        <v>59</v>
      </c>
      <c r="AN53" s="7" t="e" vm="134">
        <v>#VALUE!</v>
      </c>
      <c r="AO53" s="15" cm="1" vm="135">
        <f t="array" aca="1" ref="AO53" ca="1">_FV(NTC_centri_2[[#This Row],[Grad2]],"Latitude")</f>
        <v>45.272199999999998</v>
      </c>
      <c r="AP53" s="15" cm="1" vm="136">
        <f t="array" aca="1" ref="AP53" ca="1">_FV(NTC_centri_2[[#This Row],[Grad2]],"Longitude")</f>
        <v>20.089700000000001</v>
      </c>
      <c r="AQ53" s="15"/>
      <c r="AR53" s="15"/>
    </row>
    <row r="54" spans="1:44" ht="22.5" customHeight="1">
      <c r="A54" s="7" t="s">
        <v>1377</v>
      </c>
      <c r="B54" s="7" t="str">
        <f t="shared" si="14"/>
        <v>⚠️</v>
      </c>
      <c r="C54" s="7" t="s">
        <v>384</v>
      </c>
      <c r="D54" s="7" t="s">
        <v>385</v>
      </c>
      <c r="E54" s="7" t="s">
        <v>386</v>
      </c>
      <c r="F54" s="7" t="s">
        <v>387</v>
      </c>
      <c r="G54" s="8"/>
      <c r="H54" s="8" t="s">
        <v>388</v>
      </c>
      <c r="I54" s="12"/>
      <c r="J54" s="7"/>
      <c r="K54" s="7"/>
      <c r="L54" s="7"/>
      <c r="M54" s="56"/>
      <c r="N54" s="7"/>
      <c r="O54" s="10" t="e">
        <f>J54/(AG54*0.0951)</f>
        <v>#DIV/0!</v>
      </c>
      <c r="P54" s="7" t="e">
        <f t="shared" si="11"/>
        <v>#DIV/0!</v>
      </c>
      <c r="Q54" s="11" t="e">
        <f>(J54-#REF!)/#REF!</f>
        <v>#REF!</v>
      </c>
      <c r="R54" s="7" t="e">
        <f t="shared" si="12"/>
        <v>#REF!</v>
      </c>
      <c r="S54" s="7">
        <v>0</v>
      </c>
      <c r="T54" s="7">
        <v>1</v>
      </c>
      <c r="U54" s="7">
        <v>1</v>
      </c>
      <c r="V54" s="7">
        <v>0</v>
      </c>
      <c r="W54" s="7">
        <f t="shared" si="15"/>
        <v>0</v>
      </c>
      <c r="X54" s="7"/>
      <c r="Y54" s="7" t="s">
        <v>45</v>
      </c>
      <c r="Z54" s="7"/>
      <c r="AA54" s="7">
        <v>32</v>
      </c>
      <c r="AB54" s="7"/>
      <c r="AC54" s="7"/>
      <c r="AD54" s="7" t="s">
        <v>376</v>
      </c>
      <c r="AE54" s="46"/>
      <c r="AF54" s="7" t="s">
        <v>389</v>
      </c>
      <c r="AG54" s="17"/>
      <c r="AH54" s="7"/>
      <c r="AI54" s="7"/>
      <c r="AJ54" s="7" t="s">
        <v>57</v>
      </c>
      <c r="AK54" s="7"/>
      <c r="AL54" s="7" t="s">
        <v>57</v>
      </c>
      <c r="AM54" s="7"/>
      <c r="AN54" s="7" t="e" vm="137">
        <v>#VALUE!</v>
      </c>
      <c r="AO54" s="15">
        <v>41.998100000000001</v>
      </c>
      <c r="AP54" s="15">
        <v>21.4254</v>
      </c>
      <c r="AQ54" s="15"/>
      <c r="AR54" s="15"/>
    </row>
    <row r="55" spans="1:44" ht="22.5" customHeight="1">
      <c r="A55" s="4" t="s">
        <v>218</v>
      </c>
      <c r="B55" s="7" t="str">
        <f t="shared" si="14"/>
        <v>🥈</v>
      </c>
      <c r="C55" s="4" t="s">
        <v>40</v>
      </c>
      <c r="D55" s="7" t="s">
        <v>219</v>
      </c>
      <c r="E55" s="4" t="s">
        <v>220</v>
      </c>
      <c r="F55" s="4" t="s">
        <v>221</v>
      </c>
      <c r="G55" s="8"/>
      <c r="H55" s="8" t="s">
        <v>222</v>
      </c>
      <c r="I55" s="7">
        <v>78</v>
      </c>
      <c r="J55" s="7">
        <v>75</v>
      </c>
      <c r="K55" s="7"/>
      <c r="L55" s="7">
        <v>64</v>
      </c>
      <c r="M55" s="22" t="s">
        <v>223</v>
      </c>
      <c r="N55" s="17">
        <v>3200</v>
      </c>
      <c r="O55" s="10">
        <f>I55/(AG55*0.0951)</f>
        <v>8.3752606397217346E-3</v>
      </c>
      <c r="P55" s="7">
        <f t="shared" si="11"/>
        <v>0</v>
      </c>
      <c r="Q55" s="11">
        <f>(I55-L55)/L55</f>
        <v>0.21875</v>
      </c>
      <c r="R55" s="7">
        <f t="shared" si="12"/>
        <v>2</v>
      </c>
      <c r="S55" s="7">
        <v>0</v>
      </c>
      <c r="T55" s="7">
        <v>1</v>
      </c>
      <c r="U55" s="7">
        <v>1</v>
      </c>
      <c r="V55" s="7">
        <v>0</v>
      </c>
      <c r="W55" s="7">
        <f t="shared" si="15"/>
        <v>4</v>
      </c>
      <c r="X55" s="7"/>
      <c r="Y55" s="7" t="s">
        <v>45</v>
      </c>
      <c r="Z55" s="7">
        <v>69</v>
      </c>
      <c r="AA55" s="7">
        <v>64</v>
      </c>
      <c r="AB55" s="7">
        <v>78</v>
      </c>
      <c r="AC55" s="7" t="s">
        <v>224</v>
      </c>
      <c r="AD55" s="7" t="s">
        <v>53</v>
      </c>
      <c r="AE55" s="20" t="s">
        <v>225</v>
      </c>
      <c r="AF55" s="7" t="s">
        <v>180</v>
      </c>
      <c r="AG55" s="17">
        <v>97930</v>
      </c>
      <c r="AH55" s="7" t="s">
        <v>68</v>
      </c>
      <c r="AI55" s="7" t="s">
        <v>57</v>
      </c>
      <c r="AJ55" s="7" t="s">
        <v>57</v>
      </c>
      <c r="AK55" s="7" t="s">
        <v>226</v>
      </c>
      <c r="AL55" s="7" t="s">
        <v>57</v>
      </c>
      <c r="AM55" s="7" t="s">
        <v>59</v>
      </c>
      <c r="AN55" s="4" t="e" vm="138">
        <v>#VALUE!</v>
      </c>
      <c r="AO55" s="15" cm="1" vm="139">
        <f t="array" aca="1" ref="AO55" ca="1">_FV(NTC_centri_2[[#This Row],[Grad2]],"Latitude")</f>
        <v>44.663333333333</v>
      </c>
      <c r="AP55" s="15" cm="1" vm="140">
        <f t="array" aca="1" ref="AP55" ca="1">_FV(NTC_centri_2[[#This Row],[Grad2]],"Longitude")</f>
        <v>20.928888888888999</v>
      </c>
      <c r="AQ55" s="15"/>
      <c r="AR55" s="15"/>
    </row>
    <row r="56" spans="1:44" ht="22.5" customHeight="1">
      <c r="A56" s="7" t="s">
        <v>497</v>
      </c>
      <c r="B56" s="7" t="str">
        <f t="shared" si="14"/>
        <v>⚠️</v>
      </c>
      <c r="C56" s="4" t="s">
        <v>470</v>
      </c>
      <c r="D56" s="7" t="s">
        <v>498</v>
      </c>
      <c r="E56" s="7" t="s">
        <v>499</v>
      </c>
      <c r="F56" s="7" t="s">
        <v>500</v>
      </c>
      <c r="G56" s="7" t="s">
        <v>501</v>
      </c>
      <c r="H56" s="5" t="s">
        <v>502</v>
      </c>
      <c r="I56" s="7">
        <v>45</v>
      </c>
      <c r="J56" s="55">
        <v>40</v>
      </c>
      <c r="K56" s="68"/>
      <c r="L56" s="69">
        <v>41</v>
      </c>
      <c r="M56" s="449" t="s">
        <v>503</v>
      </c>
      <c r="N56" s="7">
        <v>55</v>
      </c>
      <c r="O56" s="10" t="e">
        <f>J56/(AG56*0.0951)</f>
        <v>#DIV/0!</v>
      </c>
      <c r="P56" s="7" t="e">
        <f t="shared" si="11"/>
        <v>#DIV/0!</v>
      </c>
      <c r="Q56" s="11" t="e">
        <f>(J56-#REF!)/#REF!</f>
        <v>#REF!</v>
      </c>
      <c r="R56" s="7" t="e">
        <f t="shared" si="12"/>
        <v>#REF!</v>
      </c>
      <c r="S56" s="7">
        <v>0</v>
      </c>
      <c r="T56" s="7">
        <v>1</v>
      </c>
      <c r="U56" s="7">
        <v>1</v>
      </c>
      <c r="V56" s="7">
        <v>0</v>
      </c>
      <c r="W56" s="7">
        <f t="shared" si="15"/>
        <v>0</v>
      </c>
      <c r="X56" s="7"/>
      <c r="Y56" s="7" t="s">
        <v>45</v>
      </c>
      <c r="Z56" s="7"/>
      <c r="AA56" s="7">
        <v>64</v>
      </c>
      <c r="AB56" s="7"/>
      <c r="AC56" s="7"/>
      <c r="AD56" s="7" t="s">
        <v>376</v>
      </c>
      <c r="AE56" s="7"/>
      <c r="AF56" s="7"/>
      <c r="AG56" s="13"/>
      <c r="AH56" s="7"/>
      <c r="AI56" s="7"/>
      <c r="AJ56" s="7" t="s">
        <v>57</v>
      </c>
      <c r="AK56" s="7"/>
      <c r="AL56" s="7" t="s">
        <v>57</v>
      </c>
      <c r="AM56" s="7"/>
      <c r="AN56" s="7" t="e" vm="141">
        <v>#VALUE!</v>
      </c>
      <c r="AO56" s="15" cm="1" vm="142">
        <f t="array" aca="1" ref="AO56" ca="1">_FV(NTC_centri_2[[#This Row],[Grad2]],"Latitude")</f>
        <v>43.937222222221997</v>
      </c>
      <c r="AP56" s="15" cm="1" vm="143">
        <f t="array" aca="1" ref="AP56" ca="1">_FV(NTC_centri_2[[#This Row],[Grad2]],"Longitude")</f>
        <v>18.798333333333002</v>
      </c>
      <c r="AQ56" s="15"/>
      <c r="AR56" s="15"/>
    </row>
    <row r="57" spans="1:44" ht="22.5" customHeight="1">
      <c r="A57" s="4" t="s">
        <v>314</v>
      </c>
      <c r="B57" s="7" t="str">
        <f t="shared" si="14"/>
        <v>⚙️</v>
      </c>
      <c r="C57" s="4" t="s">
        <v>40</v>
      </c>
      <c r="D57" s="4" t="s">
        <v>300</v>
      </c>
      <c r="E57" s="4" t="s">
        <v>301</v>
      </c>
      <c r="F57" s="4" t="s">
        <v>315</v>
      </c>
      <c r="G57" s="8" t="s">
        <v>303</v>
      </c>
      <c r="H57" s="8" t="s">
        <v>304</v>
      </c>
      <c r="I57" s="7">
        <v>42</v>
      </c>
      <c r="J57" s="7">
        <v>43</v>
      </c>
      <c r="K57" s="7"/>
      <c r="L57" s="7">
        <v>52</v>
      </c>
      <c r="M57" s="22" t="s">
        <v>316</v>
      </c>
      <c r="N57" s="17">
        <v>3000</v>
      </c>
      <c r="O57" s="10">
        <f>I57/(AG57*0.0951)</f>
        <v>6.2362729609547838E-3</v>
      </c>
      <c r="P57" s="7">
        <f t="shared" si="11"/>
        <v>0</v>
      </c>
      <c r="Q57" s="11">
        <f>(I57-L57)/L57</f>
        <v>-0.19230769230769232</v>
      </c>
      <c r="R57" s="7">
        <f t="shared" si="12"/>
        <v>0</v>
      </c>
      <c r="S57" s="7">
        <v>0</v>
      </c>
      <c r="T57" s="7">
        <v>0</v>
      </c>
      <c r="U57" s="7">
        <v>1</v>
      </c>
      <c r="V57" s="7">
        <v>0</v>
      </c>
      <c r="W57" s="7">
        <f t="shared" si="15"/>
        <v>1</v>
      </c>
      <c r="X57" s="7"/>
      <c r="Y57" s="7" t="s">
        <v>45</v>
      </c>
      <c r="Z57" s="7">
        <v>57</v>
      </c>
      <c r="AA57" s="7">
        <v>52</v>
      </c>
      <c r="AB57" s="7">
        <v>38</v>
      </c>
      <c r="AC57" s="7"/>
      <c r="AD57" s="7" t="s">
        <v>53</v>
      </c>
      <c r="AE57" s="25"/>
      <c r="AF57" s="7"/>
      <c r="AG57" s="17">
        <v>70818</v>
      </c>
      <c r="AH57" s="7" t="s">
        <v>68</v>
      </c>
      <c r="AI57" s="7"/>
      <c r="AJ57" s="7" t="s">
        <v>57</v>
      </c>
      <c r="AK57" s="7" t="s">
        <v>308</v>
      </c>
      <c r="AL57" s="7" t="s">
        <v>57</v>
      </c>
      <c r="AM57" s="7" t="s">
        <v>88</v>
      </c>
      <c r="AN57" s="4" t="e" vm="144">
        <v>#VALUE!</v>
      </c>
      <c r="AO57" s="15" cm="1" vm="145">
        <f t="array" aca="1" ref="AO57" ca="1">_FV(NTC_centri_2[[#This Row],[Grad2]],"Latitude")</f>
        <v>45.78</v>
      </c>
      <c r="AP57" s="15" cm="1" vm="146">
        <f t="array" aca="1" ref="AP57" ca="1">_FV(NTC_centri_2[[#This Row],[Grad2]],"Longitude")</f>
        <v>19.12</v>
      </c>
      <c r="AQ57" s="15"/>
      <c r="AR57" s="15"/>
    </row>
    <row r="58" spans="1:44" ht="22.5" customHeight="1">
      <c r="A58" s="7" t="s">
        <v>1378</v>
      </c>
      <c r="B58" s="7" t="str">
        <f t="shared" si="14"/>
        <v>⚠️</v>
      </c>
      <c r="C58" s="4" t="s">
        <v>415</v>
      </c>
      <c r="D58" s="7" t="s">
        <v>425</v>
      </c>
      <c r="E58" s="24" t="s">
        <v>426</v>
      </c>
      <c r="F58" s="7" t="s">
        <v>427</v>
      </c>
      <c r="G58" s="8"/>
      <c r="H58" s="8">
        <f>385958197710</f>
        <v>385958197710</v>
      </c>
      <c r="I58" s="7"/>
      <c r="J58" s="55"/>
      <c r="K58" s="55"/>
      <c r="L58" s="55"/>
      <c r="M58" s="56"/>
      <c r="N58" s="7"/>
      <c r="O58" s="10" t="e">
        <f>J58/(AG58*0.0951)</f>
        <v>#DIV/0!</v>
      </c>
      <c r="P58" s="7" t="e">
        <f t="shared" si="11"/>
        <v>#DIV/0!</v>
      </c>
      <c r="Q58" s="11" t="e">
        <f>(J58-#REF!)/#REF!</f>
        <v>#REF!</v>
      </c>
      <c r="R58" s="7" t="e">
        <f t="shared" si="12"/>
        <v>#REF!</v>
      </c>
      <c r="S58" s="7"/>
      <c r="T58" s="7"/>
      <c r="U58" s="7"/>
      <c r="V58" s="7"/>
      <c r="W58" s="7">
        <f t="shared" si="15"/>
        <v>0</v>
      </c>
      <c r="X58" s="7"/>
      <c r="Y58" s="7"/>
      <c r="Z58" s="7"/>
      <c r="AA58" s="7"/>
      <c r="AB58" s="7"/>
      <c r="AC58" s="7"/>
      <c r="AD58" s="7"/>
      <c r="AE58" s="46"/>
      <c r="AF58" s="7"/>
      <c r="AG58" s="13"/>
      <c r="AH58" s="7"/>
      <c r="AI58" s="7"/>
      <c r="AJ58" s="7"/>
      <c r="AK58" s="7"/>
      <c r="AL58" s="7"/>
      <c r="AM58" s="7"/>
      <c r="AN58" s="7" t="e" vm="147">
        <v>#VALUE!</v>
      </c>
      <c r="AO58" s="15" cm="1" vm="148">
        <f t="array" aca="1" ref="AO58" ca="1">_FV(NTC_centri_2[[#This Row],[Grad2]],"Latitude")</f>
        <v>43.51</v>
      </c>
      <c r="AP58" s="15" cm="1" vm="149">
        <f t="array" aca="1" ref="AP58" ca="1">_FV(NTC_centri_2[[#This Row],[Grad2]],"Longitude")</f>
        <v>16.440000000000001</v>
      </c>
      <c r="AQ58" s="15"/>
      <c r="AR58" s="15"/>
    </row>
    <row r="59" spans="1:44" ht="22.5" customHeight="1">
      <c r="A59" s="7" t="s">
        <v>116</v>
      </c>
      <c r="B59" s="7" t="str">
        <f t="shared" si="14"/>
        <v>🥈</v>
      </c>
      <c r="C59" s="4" t="s">
        <v>40</v>
      </c>
      <c r="D59" s="4" t="s">
        <v>117</v>
      </c>
      <c r="E59" s="24" t="s">
        <v>118</v>
      </c>
      <c r="F59" s="7" t="s">
        <v>119</v>
      </c>
      <c r="G59" s="25" t="s">
        <v>120</v>
      </c>
      <c r="H59" s="26" t="s">
        <v>121</v>
      </c>
      <c r="I59" s="7">
        <v>23</v>
      </c>
      <c r="J59" s="7">
        <v>24</v>
      </c>
      <c r="K59" s="7"/>
      <c r="L59" s="7">
        <v>1</v>
      </c>
      <c r="M59" s="22" t="s">
        <v>122</v>
      </c>
      <c r="N59" s="17">
        <v>3900</v>
      </c>
      <c r="O59" s="10">
        <f t="shared" ref="O59:O64" si="16">I59/(AG59*0.0951)</f>
        <v>1.8032410042578439E-2</v>
      </c>
      <c r="P59" s="7">
        <f t="shared" si="11"/>
        <v>2</v>
      </c>
      <c r="Q59" s="11">
        <f t="shared" ref="Q59:Q64" si="17">(I59-L59)/L59</f>
        <v>22</v>
      </c>
      <c r="R59" s="7">
        <f t="shared" si="12"/>
        <v>2</v>
      </c>
      <c r="S59" s="7">
        <v>0</v>
      </c>
      <c r="T59" s="7">
        <v>1</v>
      </c>
      <c r="U59" s="7">
        <v>1</v>
      </c>
      <c r="V59" s="7">
        <v>0</v>
      </c>
      <c r="W59" s="7">
        <f t="shared" si="15"/>
        <v>6</v>
      </c>
      <c r="X59" s="7"/>
      <c r="Y59" s="7" t="s">
        <v>57</v>
      </c>
      <c r="Z59" s="7"/>
      <c r="AA59" s="7"/>
      <c r="AB59" s="7">
        <v>23</v>
      </c>
      <c r="AC59" s="7" t="s">
        <v>123</v>
      </c>
      <c r="AD59" s="7" t="s">
        <v>53</v>
      </c>
      <c r="AE59" s="20" t="s">
        <v>117</v>
      </c>
      <c r="AF59" s="7" t="s">
        <v>77</v>
      </c>
      <c r="AG59" s="17">
        <v>13412</v>
      </c>
      <c r="AH59" s="7" t="s">
        <v>96</v>
      </c>
      <c r="AI59" s="7" t="s">
        <v>57</v>
      </c>
      <c r="AJ59" s="7" t="s">
        <v>57</v>
      </c>
      <c r="AK59" s="7" t="s">
        <v>124</v>
      </c>
      <c r="AL59" s="7" t="s">
        <v>57</v>
      </c>
      <c r="AM59" s="7" t="s">
        <v>88</v>
      </c>
      <c r="AN59" s="7" t="e" vm="150">
        <v>#VALUE!</v>
      </c>
      <c r="AO59" s="15" cm="1" vm="151">
        <f t="array" aca="1" ref="AO59" ca="1">_FV(NTC_centri_2[[#This Row],[Grad2]],"Latitude")</f>
        <v>45.222999999999999</v>
      </c>
      <c r="AP59" s="15" cm="1" vm="152">
        <f t="array" aca="1" ref="AP59" ca="1">_FV(NTC_centri_2[[#This Row],[Grad2]],"Longitude")</f>
        <v>19.8431</v>
      </c>
      <c r="AQ59" s="15"/>
      <c r="AR59" s="15"/>
    </row>
    <row r="60" spans="1:44" ht="22.5" customHeight="1">
      <c r="A60" s="4" t="s">
        <v>263</v>
      </c>
      <c r="B60" s="7" t="str">
        <f t="shared" si="14"/>
        <v>⚙️</v>
      </c>
      <c r="C60" s="4" t="s">
        <v>40</v>
      </c>
      <c r="D60" s="4" t="s">
        <v>264</v>
      </c>
      <c r="E60" s="7" t="s">
        <v>265</v>
      </c>
      <c r="F60" s="4" t="s">
        <v>266</v>
      </c>
      <c r="G60" s="8" t="s">
        <v>267</v>
      </c>
      <c r="H60" s="8" t="s">
        <v>268</v>
      </c>
      <c r="I60" s="7">
        <v>54</v>
      </c>
      <c r="J60" s="7">
        <v>61</v>
      </c>
      <c r="K60" s="7"/>
      <c r="L60" s="7">
        <v>58</v>
      </c>
      <c r="M60" s="22" t="s">
        <v>269</v>
      </c>
      <c r="N60" s="17">
        <v>4000</v>
      </c>
      <c r="O60" s="10">
        <f t="shared" si="16"/>
        <v>7.8234133900327973E-3</v>
      </c>
      <c r="P60" s="7">
        <f t="shared" si="11"/>
        <v>0</v>
      </c>
      <c r="Q60" s="11">
        <f t="shared" si="17"/>
        <v>-6.8965517241379309E-2</v>
      </c>
      <c r="R60" s="7">
        <f t="shared" si="12"/>
        <v>0</v>
      </c>
      <c r="S60" s="7">
        <v>0</v>
      </c>
      <c r="T60" s="7">
        <v>1</v>
      </c>
      <c r="U60" s="7">
        <v>1</v>
      </c>
      <c r="V60" s="7">
        <v>0</v>
      </c>
      <c r="W60" s="7">
        <f t="shared" si="15"/>
        <v>2</v>
      </c>
      <c r="X60" s="7"/>
      <c r="Y60" s="7" t="s">
        <v>45</v>
      </c>
      <c r="Z60" s="7"/>
      <c r="AA60" s="7">
        <v>58</v>
      </c>
      <c r="AB60" s="7">
        <v>54</v>
      </c>
      <c r="AC60" s="7"/>
      <c r="AD60" s="7" t="s">
        <v>53</v>
      </c>
      <c r="AE60" s="20" t="s">
        <v>264</v>
      </c>
      <c r="AF60" s="7"/>
      <c r="AG60" s="17">
        <v>72580</v>
      </c>
      <c r="AH60" s="7" t="s">
        <v>68</v>
      </c>
      <c r="AI60" s="7"/>
      <c r="AJ60" s="7" t="s">
        <v>57</v>
      </c>
      <c r="AK60" s="7" t="s">
        <v>270</v>
      </c>
      <c r="AL60" s="7" t="s">
        <v>57</v>
      </c>
      <c r="AM60" s="7" t="s">
        <v>59</v>
      </c>
      <c r="AN60" s="4" t="e" vm="153">
        <v>#VALUE!</v>
      </c>
      <c r="AO60" s="15" cm="1" vm="154">
        <f t="array" aca="1" ref="AO60" ca="1">_FV(NTC_centri_2[[#This Row],[Grad2]],"Latitude")</f>
        <v>44.97</v>
      </c>
      <c r="AP60" s="15" cm="1" vm="155">
        <f t="array" aca="1" ref="AP60" ca="1">_FV(NTC_centri_2[[#This Row],[Grad2]],"Longitude")</f>
        <v>19.612500000000001</v>
      </c>
      <c r="AQ60" s="15"/>
      <c r="AR60" s="15"/>
    </row>
    <row r="61" spans="1:44" ht="22.5" customHeight="1">
      <c r="A61" s="4" t="s">
        <v>46</v>
      </c>
      <c r="B61" s="7" t="str">
        <f t="shared" si="14"/>
        <v>🏆</v>
      </c>
      <c r="C61" s="4" t="s">
        <v>40</v>
      </c>
      <c r="D61" s="4" t="s">
        <v>47</v>
      </c>
      <c r="E61" s="4" t="s">
        <v>48</v>
      </c>
      <c r="F61" s="4" t="s">
        <v>49</v>
      </c>
      <c r="G61" s="8"/>
      <c r="H61" s="8" t="s">
        <v>50</v>
      </c>
      <c r="I61" s="7">
        <v>206</v>
      </c>
      <c r="J61" s="7">
        <v>207</v>
      </c>
      <c r="K61" s="7"/>
      <c r="L61" s="7">
        <v>181</v>
      </c>
      <c r="M61" s="22" t="s">
        <v>51</v>
      </c>
      <c r="N61" s="17">
        <v>4000</v>
      </c>
      <c r="O61" s="10">
        <f t="shared" si="16"/>
        <v>3.475947405743527E-2</v>
      </c>
      <c r="P61" s="7">
        <f t="shared" si="11"/>
        <v>3</v>
      </c>
      <c r="Q61" s="11">
        <f t="shared" si="17"/>
        <v>0.13812154696132597</v>
      </c>
      <c r="R61" s="7">
        <f t="shared" si="12"/>
        <v>2</v>
      </c>
      <c r="S61" s="7">
        <v>1</v>
      </c>
      <c r="T61" s="7">
        <v>1</v>
      </c>
      <c r="U61" s="7">
        <v>1</v>
      </c>
      <c r="V61" s="7">
        <v>0</v>
      </c>
      <c r="W61" s="7">
        <f t="shared" si="15"/>
        <v>8</v>
      </c>
      <c r="X61" s="7"/>
      <c r="Y61" s="7" t="s">
        <v>45</v>
      </c>
      <c r="Z61" s="7">
        <v>133</v>
      </c>
      <c r="AA61" s="7">
        <v>181</v>
      </c>
      <c r="AB61" s="7">
        <v>198</v>
      </c>
      <c r="AC61" s="7" t="s">
        <v>52</v>
      </c>
      <c r="AD61" s="7" t="s">
        <v>53</v>
      </c>
      <c r="AE61" s="18" t="s">
        <v>54</v>
      </c>
      <c r="AF61" s="7" t="s">
        <v>55</v>
      </c>
      <c r="AG61" s="17">
        <v>62318</v>
      </c>
      <c r="AH61" s="7" t="s">
        <v>56</v>
      </c>
      <c r="AI61" s="7" t="s">
        <v>57</v>
      </c>
      <c r="AJ61" s="7" t="s">
        <v>57</v>
      </c>
      <c r="AK61" s="7" t="s">
        <v>58</v>
      </c>
      <c r="AL61" s="7" t="s">
        <v>57</v>
      </c>
      <c r="AM61" s="7" t="s">
        <v>59</v>
      </c>
      <c r="AN61" s="4" t="e" vm="156">
        <v>#VALUE!</v>
      </c>
      <c r="AO61" s="15" cm="1" vm="157">
        <f t="array" aca="1" ref="AO61" ca="1">_FV(NTC_centri_2[[#This Row],[Grad2]],"Latitude")</f>
        <v>44.983333333333</v>
      </c>
      <c r="AP61" s="15" cm="1" vm="72">
        <f t="array" aca="1" ref="AP61" ca="1">_FV(NTC_centri_2[[#This Row],[Grad2]],"Longitude")</f>
        <v>20.166666666666998</v>
      </c>
      <c r="AQ61" s="15"/>
      <c r="AR61" s="15"/>
    </row>
    <row r="62" spans="1:44" ht="22.5" customHeight="1">
      <c r="A62" s="4" t="s">
        <v>299</v>
      </c>
      <c r="B62" s="7" t="str">
        <f t="shared" si="14"/>
        <v>⚙️</v>
      </c>
      <c r="C62" s="4" t="s">
        <v>40</v>
      </c>
      <c r="D62" s="7" t="s">
        <v>300</v>
      </c>
      <c r="E62" s="7" t="s">
        <v>301</v>
      </c>
      <c r="F62" s="4" t="s">
        <v>302</v>
      </c>
      <c r="G62" s="8" t="s">
        <v>303</v>
      </c>
      <c r="H62" s="8" t="s">
        <v>304</v>
      </c>
      <c r="I62" s="7">
        <v>46</v>
      </c>
      <c r="J62" s="7">
        <v>40</v>
      </c>
      <c r="K62" s="7"/>
      <c r="L62" s="7">
        <v>53</v>
      </c>
      <c r="M62" s="22" t="s">
        <v>305</v>
      </c>
      <c r="N62" s="17">
        <v>3500</v>
      </c>
      <c r="O62" s="10">
        <f t="shared" si="16"/>
        <v>3.902328054263941E-3</v>
      </c>
      <c r="P62" s="7">
        <f t="shared" si="11"/>
        <v>0</v>
      </c>
      <c r="Q62" s="11">
        <f t="shared" si="17"/>
        <v>-0.13207547169811321</v>
      </c>
      <c r="R62" s="7">
        <f t="shared" si="12"/>
        <v>0</v>
      </c>
      <c r="S62" s="7">
        <v>0</v>
      </c>
      <c r="T62" s="7">
        <v>1</v>
      </c>
      <c r="U62" s="7">
        <v>1</v>
      </c>
      <c r="V62" s="7">
        <v>0</v>
      </c>
      <c r="W62" s="7">
        <f t="shared" si="15"/>
        <v>2</v>
      </c>
      <c r="X62" s="7"/>
      <c r="Y62" s="7" t="s">
        <v>45</v>
      </c>
      <c r="Z62" s="7">
        <v>57</v>
      </c>
      <c r="AA62" s="7">
        <v>53</v>
      </c>
      <c r="AB62" s="7">
        <v>45</v>
      </c>
      <c r="AC62" s="7" t="s">
        <v>306</v>
      </c>
      <c r="AD62" s="7" t="s">
        <v>53</v>
      </c>
      <c r="AE62" s="25" t="s">
        <v>307</v>
      </c>
      <c r="AF62" s="7"/>
      <c r="AG62" s="17">
        <v>123952</v>
      </c>
      <c r="AH62" s="7" t="s">
        <v>68</v>
      </c>
      <c r="AI62" s="7"/>
      <c r="AJ62" s="7" t="s">
        <v>57</v>
      </c>
      <c r="AK62" s="7" t="s">
        <v>308</v>
      </c>
      <c r="AL62" s="7" t="s">
        <v>57</v>
      </c>
      <c r="AM62" s="7" t="s">
        <v>88</v>
      </c>
      <c r="AN62" s="4" t="e" vm="158">
        <v>#VALUE!</v>
      </c>
      <c r="AO62" s="15" cm="1" vm="159">
        <f t="array" aca="1" ref="AO62" ca="1">_FV(NTC_centri_2[[#This Row],[Grad2]],"Latitude")</f>
        <v>46.098333333333002</v>
      </c>
      <c r="AP62" s="15" cm="1" vm="160">
        <f t="array" aca="1" ref="AP62" ca="1">_FV(NTC_centri_2[[#This Row],[Grad2]],"Longitude")</f>
        <v>19.670000000000002</v>
      </c>
      <c r="AQ62" s="15"/>
      <c r="AR62" s="15"/>
    </row>
    <row r="63" spans="1:44" ht="22.5" customHeight="1">
      <c r="A63" s="4" t="s">
        <v>276</v>
      </c>
      <c r="B63" s="7" t="str">
        <f t="shared" si="14"/>
        <v>⚙️</v>
      </c>
      <c r="C63" s="4" t="s">
        <v>40</v>
      </c>
      <c r="D63" s="4" t="s">
        <v>194</v>
      </c>
      <c r="E63" s="4" t="s">
        <v>195</v>
      </c>
      <c r="F63" s="4" t="s">
        <v>277</v>
      </c>
      <c r="G63" s="8"/>
      <c r="H63" s="8" t="s">
        <v>197</v>
      </c>
      <c r="I63" s="7">
        <v>14</v>
      </c>
      <c r="J63" s="7">
        <v>14</v>
      </c>
      <c r="K63" s="7"/>
      <c r="L63" s="7">
        <v>42</v>
      </c>
      <c r="M63" s="22" t="s">
        <v>278</v>
      </c>
      <c r="N63" s="17">
        <v>2700</v>
      </c>
      <c r="O63" s="10">
        <f t="shared" si="16"/>
        <v>7.6938151727970428E-3</v>
      </c>
      <c r="P63" s="7">
        <f t="shared" si="11"/>
        <v>0</v>
      </c>
      <c r="Q63" s="11">
        <f t="shared" si="17"/>
        <v>-0.66666666666666663</v>
      </c>
      <c r="R63" s="7">
        <f t="shared" si="12"/>
        <v>0</v>
      </c>
      <c r="S63" s="7">
        <v>0</v>
      </c>
      <c r="T63" s="7">
        <v>1</v>
      </c>
      <c r="U63" s="7">
        <v>1</v>
      </c>
      <c r="V63" s="7">
        <v>0</v>
      </c>
      <c r="W63" s="7">
        <f t="shared" si="15"/>
        <v>2</v>
      </c>
      <c r="X63" s="7"/>
      <c r="Y63" s="7" t="s">
        <v>57</v>
      </c>
      <c r="Z63" s="7">
        <v>77</v>
      </c>
      <c r="AA63" s="7">
        <v>42</v>
      </c>
      <c r="AB63" s="7">
        <v>14</v>
      </c>
      <c r="AC63" s="7" t="s">
        <v>279</v>
      </c>
      <c r="AD63" s="7" t="s">
        <v>53</v>
      </c>
      <c r="AE63" s="20" t="s">
        <v>194</v>
      </c>
      <c r="AF63" s="7" t="s">
        <v>153</v>
      </c>
      <c r="AG63" s="17">
        <v>19134</v>
      </c>
      <c r="AH63" s="7" t="s">
        <v>96</v>
      </c>
      <c r="AI63" s="7" t="s">
        <v>57</v>
      </c>
      <c r="AJ63" s="7" t="s">
        <v>57</v>
      </c>
      <c r="AK63" s="7" t="s">
        <v>200</v>
      </c>
      <c r="AL63" s="7" t="s">
        <v>57</v>
      </c>
      <c r="AM63" s="7" t="s">
        <v>59</v>
      </c>
      <c r="AN63" s="4" t="e" vm="161">
        <v>#VALUE!</v>
      </c>
      <c r="AO63" s="15" cm="1" vm="162">
        <f t="array" aca="1" ref="AO63" ca="1">_FV(NTC_centri_2[[#This Row],[Grad2]],"Latitude")</f>
        <v>44.252499999999998</v>
      </c>
      <c r="AP63" s="15" cm="1" vm="163">
        <f t="array" aca="1" ref="AP63" ca="1">_FV(NTC_centri_2[[#This Row],[Grad2]],"Longitude")</f>
        <v>20.676111111110998</v>
      </c>
      <c r="AQ63" s="15"/>
      <c r="AR63" s="15"/>
    </row>
    <row r="64" spans="1:44" ht="22.5" customHeight="1">
      <c r="A64" s="7" t="s">
        <v>89</v>
      </c>
      <c r="B64" s="7" t="str">
        <f t="shared" si="14"/>
        <v>🏆</v>
      </c>
      <c r="C64" s="4" t="s">
        <v>40</v>
      </c>
      <c r="D64" s="4" t="s">
        <v>90</v>
      </c>
      <c r="E64" s="7" t="s">
        <v>91</v>
      </c>
      <c r="F64" s="7" t="s">
        <v>92</v>
      </c>
      <c r="G64" s="8"/>
      <c r="H64" s="8" t="s">
        <v>93</v>
      </c>
      <c r="I64" s="7">
        <v>136</v>
      </c>
      <c r="J64" s="7">
        <v>137</v>
      </c>
      <c r="K64" s="7"/>
      <c r="L64" s="7">
        <v>1</v>
      </c>
      <c r="M64" s="27" t="s">
        <v>94</v>
      </c>
      <c r="N64" s="17">
        <v>3500</v>
      </c>
      <c r="O64" s="10">
        <f t="shared" si="16"/>
        <v>1.7404052705153501E-2</v>
      </c>
      <c r="P64" s="7">
        <f t="shared" si="11"/>
        <v>2</v>
      </c>
      <c r="Q64" s="11">
        <f t="shared" si="17"/>
        <v>135</v>
      </c>
      <c r="R64" s="7">
        <f t="shared" si="12"/>
        <v>2</v>
      </c>
      <c r="S64" s="7">
        <v>1</v>
      </c>
      <c r="T64" s="7">
        <v>1</v>
      </c>
      <c r="U64" s="7">
        <v>1</v>
      </c>
      <c r="V64" s="7">
        <v>0</v>
      </c>
      <c r="W64" s="7">
        <f t="shared" si="15"/>
        <v>7</v>
      </c>
      <c r="X64" s="7"/>
      <c r="Y64" s="7" t="s">
        <v>57</v>
      </c>
      <c r="Z64" s="7"/>
      <c r="AA64" s="7"/>
      <c r="AB64" s="7">
        <v>128</v>
      </c>
      <c r="AC64" s="7" t="s">
        <v>95</v>
      </c>
      <c r="AD64" s="7" t="s">
        <v>53</v>
      </c>
      <c r="AE64" s="18" t="s">
        <v>90</v>
      </c>
      <c r="AF64" s="7" t="s">
        <v>67</v>
      </c>
      <c r="AG64" s="17">
        <v>82169</v>
      </c>
      <c r="AH64" s="7" t="s">
        <v>96</v>
      </c>
      <c r="AI64" s="7" t="s">
        <v>57</v>
      </c>
      <c r="AJ64" s="7" t="s">
        <v>57</v>
      </c>
      <c r="AK64" s="7" t="s">
        <v>97</v>
      </c>
      <c r="AL64" s="7" t="s">
        <v>57</v>
      </c>
      <c r="AM64" s="7" t="s">
        <v>59</v>
      </c>
      <c r="AN64" s="7" t="e" vm="164">
        <v>#VALUE!</v>
      </c>
      <c r="AO64" s="15" cm="1" vm="165">
        <f t="array" aca="1" ref="AO64" ca="1">_FV(NTC_centri_2[[#This Row],[Grad2]],"Latitude")</f>
        <v>44.266666666667</v>
      </c>
      <c r="AP64" s="15" cm="1" vm="166">
        <f t="array" aca="1" ref="AP64" ca="1">_FV(NTC_centri_2[[#This Row],[Grad2]],"Longitude")</f>
        <v>19.883333333332999</v>
      </c>
      <c r="AQ64" s="15"/>
      <c r="AR64" s="15"/>
    </row>
    <row r="65" spans="1:46" ht="22.5" customHeight="1">
      <c r="A65" s="7" t="s">
        <v>1379</v>
      </c>
      <c r="B65" s="7" t="str">
        <f t="shared" si="14"/>
        <v>⚠️</v>
      </c>
      <c r="C65" s="7" t="s">
        <v>390</v>
      </c>
      <c r="D65" s="7" t="s">
        <v>394</v>
      </c>
      <c r="E65" s="7" t="s">
        <v>395</v>
      </c>
      <c r="F65" s="7"/>
      <c r="G65" s="54" t="s">
        <v>396</v>
      </c>
      <c r="H65" s="8" t="s">
        <v>397</v>
      </c>
      <c r="I65" s="12"/>
      <c r="J65" s="55">
        <v>25</v>
      </c>
      <c r="K65" s="55"/>
      <c r="L65" s="55">
        <v>22</v>
      </c>
      <c r="M65" s="448"/>
      <c r="N65" s="7"/>
      <c r="O65" s="10" t="e">
        <f>J65/(AG65*0.0951)</f>
        <v>#DIV/0!</v>
      </c>
      <c r="P65" s="7" t="e">
        <f t="shared" si="11"/>
        <v>#DIV/0!</v>
      </c>
      <c r="Q65" s="11" t="e">
        <f>(J65-#REF!)/#REF!</f>
        <v>#REF!</v>
      </c>
      <c r="R65" s="7" t="e">
        <f t="shared" si="12"/>
        <v>#REF!</v>
      </c>
      <c r="S65" s="7"/>
      <c r="T65" s="7"/>
      <c r="U65" s="7"/>
      <c r="V65" s="7"/>
      <c r="W65" s="7">
        <f t="shared" si="15"/>
        <v>0</v>
      </c>
      <c r="X65" s="7"/>
      <c r="Y65" s="7"/>
      <c r="Z65" s="7"/>
      <c r="AA65" s="7"/>
      <c r="AB65" s="7"/>
      <c r="AC65" s="7"/>
      <c r="AD65" s="7"/>
      <c r="AE65" s="46"/>
      <c r="AF65" s="7"/>
      <c r="AG65" s="17"/>
      <c r="AH65" s="7"/>
      <c r="AI65" s="7"/>
      <c r="AJ65" s="7" t="s">
        <v>57</v>
      </c>
      <c r="AK65" s="7"/>
      <c r="AL65" s="7" t="s">
        <v>57</v>
      </c>
      <c r="AM65" s="7"/>
      <c r="AN65" s="7" t="e" vm="167">
        <v>#VALUE!</v>
      </c>
      <c r="AO65" s="15" cm="1" vm="168">
        <f t="array" aca="1" ref="AO65" ca="1">_FV(NTC_centri_2[[#This Row],[Grad2]],"Latitude")</f>
        <v>46.308055555555597</v>
      </c>
      <c r="AP65" s="15" cm="1" vm="169">
        <f t="array" aca="1" ref="AP65" ca="1">_FV(NTC_centri_2[[#This Row],[Grad2]],"Longitude")</f>
        <v>16.337777777777799</v>
      </c>
      <c r="AQ65" s="15"/>
      <c r="AR65" s="15"/>
    </row>
    <row r="66" spans="1:46" ht="22.5" customHeight="1">
      <c r="A66" s="7" t="s">
        <v>184</v>
      </c>
      <c r="B66" s="7" t="str">
        <f t="shared" si="14"/>
        <v>🥈</v>
      </c>
      <c r="C66" s="4" t="s">
        <v>40</v>
      </c>
      <c r="D66" s="7" t="s">
        <v>185</v>
      </c>
      <c r="E66" s="7" t="s">
        <v>186</v>
      </c>
      <c r="F66" s="7" t="s">
        <v>187</v>
      </c>
      <c r="G66" s="32"/>
      <c r="H66" s="8" t="s">
        <v>188</v>
      </c>
      <c r="I66" s="7">
        <v>51</v>
      </c>
      <c r="J66" s="7">
        <v>50</v>
      </c>
      <c r="K66" s="7"/>
      <c r="L66" s="7">
        <v>62</v>
      </c>
      <c r="M66" s="34" t="s">
        <v>189</v>
      </c>
      <c r="N66" s="17">
        <v>3000</v>
      </c>
      <c r="O66" s="10">
        <f>I66/(AG66*0.0951)</f>
        <v>1.512729126184478E-2</v>
      </c>
      <c r="P66" s="7">
        <f t="shared" si="11"/>
        <v>2</v>
      </c>
      <c r="Q66" s="11">
        <f>(I66-L66)/L66</f>
        <v>-0.17741935483870969</v>
      </c>
      <c r="R66" s="7">
        <f t="shared" si="12"/>
        <v>0</v>
      </c>
      <c r="S66" s="7">
        <v>0</v>
      </c>
      <c r="T66" s="7">
        <v>1</v>
      </c>
      <c r="U66" s="7">
        <v>1</v>
      </c>
      <c r="V66" s="7">
        <v>0</v>
      </c>
      <c r="W66" s="7">
        <f t="shared" si="15"/>
        <v>4</v>
      </c>
      <c r="X66" s="7"/>
      <c r="Y66" s="7" t="s">
        <v>57</v>
      </c>
      <c r="Z66" s="7"/>
      <c r="AA66" s="7">
        <v>62</v>
      </c>
      <c r="AB66" s="7">
        <v>51</v>
      </c>
      <c r="AC66" s="7" t="s">
        <v>190</v>
      </c>
      <c r="AD66" s="7" t="s">
        <v>53</v>
      </c>
      <c r="AE66" s="20" t="s">
        <v>191</v>
      </c>
      <c r="AF66" s="7" t="s">
        <v>86</v>
      </c>
      <c r="AG66" s="17">
        <v>35451</v>
      </c>
      <c r="AH66" s="7" t="s">
        <v>68</v>
      </c>
      <c r="AI66" s="7" t="s">
        <v>57</v>
      </c>
      <c r="AJ66" s="7" t="s">
        <v>57</v>
      </c>
      <c r="AK66" s="7" t="s">
        <v>192</v>
      </c>
      <c r="AL66" s="7" t="s">
        <v>57</v>
      </c>
      <c r="AM66" s="7" t="s">
        <v>59</v>
      </c>
      <c r="AN66" s="7" t="e" vm="170">
        <v>#VALUE!</v>
      </c>
      <c r="AO66" s="15" cm="1" vm="171">
        <f t="array" aca="1" ref="AO66" ca="1">_FV(NTC_centri_2[[#This Row],[Grad2]],"Latitude")</f>
        <v>44.333333333333002</v>
      </c>
      <c r="AP66" s="15" cm="1" vm="172">
        <f t="array" aca="1" ref="AP66" ca="1">_FV(NTC_centri_2[[#This Row],[Grad2]],"Longitude")</f>
        <v>21.083333333333002</v>
      </c>
      <c r="AQ66" s="15"/>
      <c r="AR66" s="15"/>
    </row>
    <row r="67" spans="1:46" ht="22.5" customHeight="1">
      <c r="A67" s="7" t="s">
        <v>485</v>
      </c>
      <c r="B67" s="7" t="str">
        <f t="shared" si="14"/>
        <v>⚠️</v>
      </c>
      <c r="C67" s="4" t="s">
        <v>470</v>
      </c>
      <c r="D67" s="4" t="s">
        <v>471</v>
      </c>
      <c r="E67" s="7" t="s">
        <v>472</v>
      </c>
      <c r="F67" s="7" t="s">
        <v>473</v>
      </c>
      <c r="G67" s="8" t="s">
        <v>474</v>
      </c>
      <c r="H67" s="8" t="s">
        <v>486</v>
      </c>
      <c r="I67" s="50"/>
      <c r="J67" s="7">
        <v>28</v>
      </c>
      <c r="K67" s="34"/>
      <c r="L67" s="7"/>
      <c r="M67" s="34" t="s">
        <v>487</v>
      </c>
      <c r="N67" s="62"/>
      <c r="O67" s="10" t="e">
        <f>J67/(AG67*0.0951)</f>
        <v>#DIV/0!</v>
      </c>
      <c r="P67" s="7" t="e">
        <f t="shared" si="11"/>
        <v>#DIV/0!</v>
      </c>
      <c r="Q67" s="11" t="e">
        <f>J67/#REF!</f>
        <v>#REF!</v>
      </c>
      <c r="R67" s="7" t="e">
        <f t="shared" si="12"/>
        <v>#REF!</v>
      </c>
      <c r="S67" s="7">
        <v>0</v>
      </c>
      <c r="T67" s="7">
        <v>1</v>
      </c>
      <c r="U67" s="7">
        <v>1</v>
      </c>
      <c r="V67" s="7">
        <v>0</v>
      </c>
      <c r="W67" s="7">
        <f t="shared" si="15"/>
        <v>0</v>
      </c>
      <c r="X67" s="7"/>
      <c r="Y67" s="7" t="s">
        <v>45</v>
      </c>
      <c r="Z67" s="7"/>
      <c r="AA67" s="7">
        <v>8</v>
      </c>
      <c r="AB67" s="7"/>
      <c r="AC67" s="7"/>
      <c r="AD67" s="7" t="s">
        <v>376</v>
      </c>
      <c r="AE67" s="59"/>
      <c r="AF67" s="59" t="s">
        <v>477</v>
      </c>
      <c r="AG67" s="13"/>
      <c r="AH67" s="7"/>
      <c r="AI67" s="7"/>
      <c r="AJ67" s="7"/>
      <c r="AK67" s="7"/>
      <c r="AL67" s="7" t="s">
        <v>45</v>
      </c>
      <c r="AM67" s="7"/>
      <c r="AN67" s="4" t="s">
        <v>321</v>
      </c>
      <c r="AO67" s="15" t="e" cm="1" vm="1">
        <f t="array" ref="AO67">_FV(NTC_centri_2[[#This Row],[Grad2]],"Latitude")</f>
        <v>#VALUE!</v>
      </c>
      <c r="AP67" s="15" t="e" cm="1" vm="2">
        <f t="array" ref="AP67">_FV(NTC_centri_2[[#This Row],[Grad2]],"Longitude")</f>
        <v>#VALUE!</v>
      </c>
      <c r="AQ67" s="15"/>
      <c r="AR67" s="15"/>
    </row>
    <row r="68" spans="1:46" ht="22.5" customHeight="1">
      <c r="A68" s="47" t="s">
        <v>488</v>
      </c>
      <c r="B68" s="7" t="str">
        <f t="shared" si="14"/>
        <v>⚠️</v>
      </c>
      <c r="C68" s="48" t="s">
        <v>470</v>
      </c>
      <c r="D68" s="63" t="s">
        <v>489</v>
      </c>
      <c r="E68" s="64" t="s">
        <v>490</v>
      </c>
      <c r="F68" s="7" t="s">
        <v>491</v>
      </c>
      <c r="G68" s="48" t="s">
        <v>492</v>
      </c>
      <c r="H68" s="49" t="s">
        <v>493</v>
      </c>
      <c r="I68" s="50"/>
      <c r="J68" s="7">
        <v>64</v>
      </c>
      <c r="K68" s="65"/>
      <c r="L68" s="30"/>
      <c r="M68" s="65"/>
      <c r="N68" s="66"/>
      <c r="O68" s="10" t="e">
        <f>J68/(AG68*0.0951)</f>
        <v>#DIV/0!</v>
      </c>
      <c r="P68" s="7" t="e">
        <f t="shared" ref="P68:P74" si="18">IF(O68&lt;0.01,0,IF(O68&gt;0.03,3,2))</f>
        <v>#DIV/0!</v>
      </c>
      <c r="Q68" s="11" t="e">
        <f>J68/#REF!</f>
        <v>#REF!</v>
      </c>
      <c r="R68" s="7" t="e">
        <f t="shared" ref="R68:R74" si="19">IF(Q68&lt;0,0,IF(Q68&gt;0.1,2,1))</f>
        <v>#REF!</v>
      </c>
      <c r="S68" s="7">
        <v>0</v>
      </c>
      <c r="T68" s="7">
        <v>1</v>
      </c>
      <c r="U68" s="7">
        <v>1</v>
      </c>
      <c r="V68" s="7">
        <v>0</v>
      </c>
      <c r="W68" s="7">
        <f t="shared" si="15"/>
        <v>0</v>
      </c>
      <c r="X68" s="50"/>
      <c r="Y68" s="12" t="s">
        <v>45</v>
      </c>
      <c r="Z68" s="30"/>
      <c r="AA68" s="7">
        <v>64</v>
      </c>
      <c r="AB68" s="30"/>
      <c r="AC68" s="30"/>
      <c r="AD68" s="30" t="s">
        <v>376</v>
      </c>
      <c r="AE68" s="30"/>
      <c r="AF68" s="30"/>
      <c r="AG68" s="52"/>
      <c r="AH68" s="30"/>
      <c r="AI68" s="7"/>
      <c r="AJ68" s="7" t="s">
        <v>57</v>
      </c>
      <c r="AK68" s="7"/>
      <c r="AL68" s="7" t="s">
        <v>45</v>
      </c>
      <c r="AM68" s="12"/>
      <c r="AN68" s="4" t="s">
        <v>233</v>
      </c>
      <c r="AO68" s="15" t="e" cm="1" vm="1">
        <f t="array" ref="AO68">_FV(NTC_centri_2[[#This Row],[Grad2]],"Latitude")</f>
        <v>#VALUE!</v>
      </c>
      <c r="AP68" s="15" t="e" cm="1" vm="2">
        <f t="array" ref="AP68">_FV(NTC_centri_2[[#This Row],[Grad2]],"Longitude")</f>
        <v>#VALUE!</v>
      </c>
      <c r="AQ68" s="15"/>
      <c r="AR68" s="15"/>
    </row>
    <row r="69" spans="1:46" ht="22.5" customHeight="1">
      <c r="A69" s="7" t="s">
        <v>494</v>
      </c>
      <c r="B69" s="7" t="str">
        <f t="shared" si="14"/>
        <v>⚠️</v>
      </c>
      <c r="C69" s="4" t="s">
        <v>470</v>
      </c>
      <c r="D69" s="4" t="s">
        <v>471</v>
      </c>
      <c r="E69" s="7" t="s">
        <v>472</v>
      </c>
      <c r="F69" s="7" t="s">
        <v>473</v>
      </c>
      <c r="G69" s="8" t="s">
        <v>474</v>
      </c>
      <c r="H69" s="8" t="s">
        <v>495</v>
      </c>
      <c r="I69" s="50"/>
      <c r="J69" s="7">
        <v>20</v>
      </c>
      <c r="K69" s="67"/>
      <c r="L69" s="67"/>
      <c r="M69" s="67" t="s">
        <v>496</v>
      </c>
      <c r="N69" s="62"/>
      <c r="O69" s="10" t="e">
        <f>J69/(AG69*0.0951)</f>
        <v>#DIV/0!</v>
      </c>
      <c r="P69" s="7" t="e">
        <f t="shared" si="18"/>
        <v>#DIV/0!</v>
      </c>
      <c r="Q69" s="11" t="e">
        <f>J69/#REF!</f>
        <v>#REF!</v>
      </c>
      <c r="R69" s="7" t="e">
        <f t="shared" si="19"/>
        <v>#REF!</v>
      </c>
      <c r="S69" s="7">
        <v>0</v>
      </c>
      <c r="T69" s="7">
        <v>1</v>
      </c>
      <c r="U69" s="7">
        <v>1</v>
      </c>
      <c r="V69" s="7">
        <v>0</v>
      </c>
      <c r="W69" s="7">
        <f t="shared" si="15"/>
        <v>0</v>
      </c>
      <c r="X69" s="7"/>
      <c r="Y69" s="7" t="s">
        <v>45</v>
      </c>
      <c r="Z69" s="7"/>
      <c r="AA69" s="7">
        <v>36</v>
      </c>
      <c r="AB69" s="7"/>
      <c r="AC69" s="7"/>
      <c r="AD69" s="7" t="s">
        <v>376</v>
      </c>
      <c r="AE69" s="59"/>
      <c r="AF69" s="59" t="s">
        <v>477</v>
      </c>
      <c r="AG69" s="13"/>
      <c r="AH69" s="7"/>
      <c r="AI69" s="7"/>
      <c r="AJ69" s="7"/>
      <c r="AK69" s="7"/>
      <c r="AL69" s="7" t="s">
        <v>45</v>
      </c>
      <c r="AM69" s="7"/>
      <c r="AO69" t="e" cm="1" vm="1">
        <f t="array" ref="AO69">_FV(NTC_centri_2[[#This Row],[Grad2]],"Latitude")</f>
        <v>#VALUE!</v>
      </c>
      <c r="AP69" s="15" t="e" cm="1" vm="2">
        <f t="array" ref="AP69">_FV(NTC_centri_2[[#This Row],[Grad2]],"Longitude")</f>
        <v>#VALUE!</v>
      </c>
    </row>
    <row r="70" spans="1:46" ht="22.5" customHeight="1">
      <c r="A70" s="7" t="s">
        <v>1380</v>
      </c>
      <c r="B70" s="7" t="str">
        <f t="shared" si="14"/>
        <v>⚠️</v>
      </c>
      <c r="C70" s="7" t="s">
        <v>390</v>
      </c>
      <c r="D70" s="7" t="s">
        <v>402</v>
      </c>
      <c r="E70" s="56" t="s">
        <v>403</v>
      </c>
      <c r="F70" s="7" t="s">
        <v>404</v>
      </c>
      <c r="G70" s="8" t="s">
        <v>405</v>
      </c>
      <c r="H70" s="8" t="s">
        <v>406</v>
      </c>
      <c r="I70" s="7">
        <v>17</v>
      </c>
      <c r="J70" s="71">
        <v>17</v>
      </c>
      <c r="K70" s="55">
        <v>59</v>
      </c>
      <c r="L70" s="444"/>
      <c r="M70" s="7"/>
      <c r="N70" s="7"/>
      <c r="O70" s="10" t="e">
        <f>K70/(AG70*0.0951)</f>
        <v>#DIV/0!</v>
      </c>
      <c r="P70" s="7" t="e">
        <f t="shared" si="18"/>
        <v>#DIV/0!</v>
      </c>
      <c r="Q70" s="11" t="e">
        <f>(J70-#REF!)/#REF!</f>
        <v>#REF!</v>
      </c>
      <c r="R70" s="7" t="e">
        <f t="shared" si="19"/>
        <v>#REF!</v>
      </c>
      <c r="S70" s="7"/>
      <c r="T70" s="7"/>
      <c r="U70" s="7"/>
      <c r="V70" s="7"/>
      <c r="W70" s="7">
        <f t="shared" si="15"/>
        <v>0</v>
      </c>
      <c r="X70" s="7"/>
      <c r="Y70" s="7"/>
      <c r="Z70" s="7"/>
      <c r="AA70" s="58">
        <v>59</v>
      </c>
      <c r="AB70" s="7"/>
      <c r="AC70" s="7"/>
      <c r="AD70" s="7"/>
      <c r="AE70" s="53"/>
      <c r="AF70" s="7"/>
      <c r="AG70" s="17"/>
      <c r="AH70" s="7"/>
      <c r="AI70" s="7"/>
      <c r="AJ70" s="7" t="s">
        <v>57</v>
      </c>
      <c r="AK70" s="7"/>
      <c r="AL70" s="7"/>
      <c r="AM70" s="7"/>
      <c r="AN70" s="7" t="e" vm="173">
        <v>#VALUE!</v>
      </c>
      <c r="AO70" s="15" cm="1" vm="174">
        <f t="array" aca="1" ref="AO70" ca="1">_FV(NTC_centri_2[[#This Row],[Grad2]],"Latitude")</f>
        <v>45.283333333332997</v>
      </c>
      <c r="AP70" s="15" cm="1" vm="175">
        <f t="array" aca="1" ref="AP70" ca="1">_FV(NTC_centri_2[[#This Row],[Grad2]],"Longitude")</f>
        <v>18.8</v>
      </c>
      <c r="AQ70" s="15"/>
      <c r="AR70" s="15"/>
    </row>
    <row r="71" spans="1:46" ht="22.5" customHeight="1">
      <c r="A71" s="441" t="s">
        <v>1381</v>
      </c>
      <c r="B71" s="7" t="str">
        <f t="shared" si="14"/>
        <v>⚠️</v>
      </c>
      <c r="C71" s="4" t="s">
        <v>40</v>
      </c>
      <c r="D71" s="4" t="s">
        <v>139</v>
      </c>
      <c r="E71" s="56" t="s">
        <v>140</v>
      </c>
      <c r="F71" s="4" t="s">
        <v>363</v>
      </c>
      <c r="G71" s="8"/>
      <c r="H71" s="8"/>
      <c r="I71" s="12"/>
      <c r="J71" s="7">
        <v>1</v>
      </c>
      <c r="K71" s="7"/>
      <c r="L71" s="7"/>
      <c r="M71" s="22" t="s">
        <v>364</v>
      </c>
      <c r="N71" s="17">
        <v>3200</v>
      </c>
      <c r="O71" s="10">
        <f>J71/(AG71*0.0951)</f>
        <v>2.8729398399789742E-4</v>
      </c>
      <c r="P71" s="7">
        <f t="shared" si="18"/>
        <v>0</v>
      </c>
      <c r="Q71" s="11" t="e">
        <f>(J71-#REF!)/#REF!</f>
        <v>#REF!</v>
      </c>
      <c r="R71" s="7" t="e">
        <f t="shared" si="19"/>
        <v>#REF!</v>
      </c>
      <c r="S71" s="7"/>
      <c r="T71" s="7"/>
      <c r="U71" s="7"/>
      <c r="V71" s="7"/>
      <c r="W71" s="7">
        <f t="shared" si="15"/>
        <v>0</v>
      </c>
      <c r="X71" s="7"/>
      <c r="Y71" s="7" t="s">
        <v>57</v>
      </c>
      <c r="Z71" s="7"/>
      <c r="AA71" s="7"/>
      <c r="AB71" s="7"/>
      <c r="AC71" s="7" t="s">
        <v>144</v>
      </c>
      <c r="AD71" s="7" t="s">
        <v>53</v>
      </c>
      <c r="AE71" s="46"/>
      <c r="AF71" s="7" t="s">
        <v>320</v>
      </c>
      <c r="AG71" s="43">
        <v>36601</v>
      </c>
      <c r="AH71" s="7" t="s">
        <v>56</v>
      </c>
      <c r="AI71" s="7" t="s">
        <v>57</v>
      </c>
      <c r="AJ71" s="7" t="s">
        <v>57</v>
      </c>
      <c r="AK71" s="7" t="s">
        <v>145</v>
      </c>
      <c r="AL71" s="7" t="s">
        <v>57</v>
      </c>
      <c r="AM71" s="7" t="s">
        <v>59</v>
      </c>
      <c r="AN71" s="441" t="e" vm="176">
        <v>#VALUE!</v>
      </c>
      <c r="AO71" s="15" cm="1" vm="177">
        <f t="array" aca="1" ref="AO71" ca="1">_FV(NTC_centri_2[[#This Row],[Grad2]],"Latitude")</f>
        <v>45.569722222221998</v>
      </c>
      <c r="AP71" s="15" cm="1" vm="178">
        <f t="array" aca="1" ref="AP71" ca="1">_FV(NTC_centri_2[[#This Row],[Grad2]],"Longitude")</f>
        <v>19.637777777777998</v>
      </c>
      <c r="AQ71" s="15"/>
      <c r="AR71" s="15"/>
    </row>
    <row r="72" spans="1:46" ht="22.5" customHeight="1">
      <c r="A72" s="7" t="s">
        <v>407</v>
      </c>
      <c r="B72" s="7" t="str">
        <f t="shared" si="14"/>
        <v>⚠️</v>
      </c>
      <c r="C72" s="7" t="s">
        <v>390</v>
      </c>
      <c r="D72" s="7" t="s">
        <v>391</v>
      </c>
      <c r="E72" s="7" t="s">
        <v>392</v>
      </c>
      <c r="F72" s="7"/>
      <c r="G72" s="8"/>
      <c r="H72" s="8"/>
      <c r="I72" s="7"/>
      <c r="J72" s="55">
        <v>82</v>
      </c>
      <c r="K72" s="55"/>
      <c r="L72" s="55">
        <v>78</v>
      </c>
      <c r="M72" s="7"/>
      <c r="N72" s="7"/>
      <c r="O72" s="10" t="e">
        <f>J72/(AG72*0.0951)</f>
        <v>#DIV/0!</v>
      </c>
      <c r="P72" s="7" t="e">
        <f t="shared" si="18"/>
        <v>#DIV/0!</v>
      </c>
      <c r="Q72" s="11" t="e">
        <f>(J72-#REF!)/#REF!</f>
        <v>#REF!</v>
      </c>
      <c r="R72" s="7" t="e">
        <f t="shared" si="19"/>
        <v>#REF!</v>
      </c>
      <c r="S72" s="7"/>
      <c r="T72" s="7"/>
      <c r="U72" s="7"/>
      <c r="V72" s="7"/>
      <c r="W72" s="7">
        <f t="shared" si="15"/>
        <v>0</v>
      </c>
      <c r="X72" s="7"/>
      <c r="Y72" s="7"/>
      <c r="Z72" s="7"/>
      <c r="AA72" s="7"/>
      <c r="AB72" s="7"/>
      <c r="AC72" s="7"/>
      <c r="AD72" s="7"/>
      <c r="AE72" s="46"/>
      <c r="AF72" s="7"/>
      <c r="AG72" s="17"/>
      <c r="AH72" s="7"/>
      <c r="AI72" s="7"/>
      <c r="AJ72" s="7"/>
      <c r="AK72" s="7"/>
      <c r="AL72" s="7" t="s">
        <v>57</v>
      </c>
      <c r="AM72" s="7"/>
      <c r="AN72" s="7" t="e" vm="179">
        <v>#VALUE!</v>
      </c>
      <c r="AO72" s="15">
        <v>45.814999999999998</v>
      </c>
      <c r="AP72" s="15">
        <v>15.9819</v>
      </c>
    </row>
    <row r="73" spans="1:46" ht="22.5" customHeight="1">
      <c r="A73" s="4" t="s">
        <v>321</v>
      </c>
      <c r="B73" s="7" t="str">
        <f t="shared" si="14"/>
        <v>⚠️</v>
      </c>
      <c r="C73" s="4" t="s">
        <v>40</v>
      </c>
      <c r="D73" s="4" t="s">
        <v>47</v>
      </c>
      <c r="E73" s="4" t="s">
        <v>48</v>
      </c>
      <c r="F73" s="4" t="s">
        <v>322</v>
      </c>
      <c r="G73" s="8"/>
      <c r="H73" s="8" t="s">
        <v>50</v>
      </c>
      <c r="I73" s="12"/>
      <c r="J73" s="7">
        <v>67</v>
      </c>
      <c r="K73" s="7"/>
      <c r="L73" s="7"/>
      <c r="M73" s="42" t="s">
        <v>323</v>
      </c>
      <c r="N73" s="17">
        <v>5000</v>
      </c>
      <c r="O73" s="10">
        <f>J73/(AG73*0.0951)</f>
        <v>3.9600330297489264E-3</v>
      </c>
      <c r="P73" s="7">
        <f t="shared" si="18"/>
        <v>0</v>
      </c>
      <c r="Q73" s="11" t="e">
        <f>(J73-#REF!)/#REF!</f>
        <v>#REF!</v>
      </c>
      <c r="R73" s="7" t="e">
        <f t="shared" si="19"/>
        <v>#REF!</v>
      </c>
      <c r="S73" s="7"/>
      <c r="T73" s="7"/>
      <c r="U73" s="7"/>
      <c r="V73" s="7"/>
      <c r="W73" s="7">
        <f t="shared" si="15"/>
        <v>0</v>
      </c>
      <c r="X73" s="7"/>
      <c r="Y73" s="7" t="s">
        <v>45</v>
      </c>
      <c r="Z73" s="7"/>
      <c r="AA73" s="7"/>
      <c r="AB73" s="7">
        <v>67</v>
      </c>
      <c r="AC73" s="7" t="s">
        <v>179</v>
      </c>
      <c r="AD73" s="7" t="s">
        <v>53</v>
      </c>
      <c r="AE73" s="18" t="s">
        <v>54</v>
      </c>
      <c r="AF73" s="7" t="s">
        <v>320</v>
      </c>
      <c r="AG73" s="454">
        <v>177908</v>
      </c>
      <c r="AH73" s="7" t="s">
        <v>56</v>
      </c>
      <c r="AI73" s="7"/>
      <c r="AJ73" s="7" t="s">
        <v>57</v>
      </c>
      <c r="AK73" s="7" t="s">
        <v>181</v>
      </c>
      <c r="AL73" s="7" t="s">
        <v>57</v>
      </c>
      <c r="AM73" s="7" t="s">
        <v>59</v>
      </c>
      <c r="AN73" s="4" t="e" vm="180">
        <v>#VALUE!</v>
      </c>
      <c r="AO73" s="72" cm="1" vm="181">
        <f t="array" aca="1" ref="AO73" ca="1">_FV(NTC_centri_2[[#This Row],[Grad2]],"Latitude")</f>
        <v>44.85</v>
      </c>
      <c r="AP73" s="15" cm="1" vm="182">
        <f t="array" aca="1" ref="AP73" ca="1">_FV(NTC_centri_2[[#This Row],[Grad2]],"Longitude")</f>
        <v>20.399999999999999</v>
      </c>
      <c r="AQ73" s="72"/>
      <c r="AR73" s="72"/>
    </row>
    <row r="74" spans="1:46" ht="22.8" customHeight="1">
      <c r="A74" s="4" t="s">
        <v>233</v>
      </c>
      <c r="B74" s="7" t="str">
        <f t="shared" si="14"/>
        <v>⚙️</v>
      </c>
      <c r="C74" s="4" t="s">
        <v>40</v>
      </c>
      <c r="D74" s="4" t="s">
        <v>234</v>
      </c>
      <c r="E74" s="4" t="s">
        <v>235</v>
      </c>
      <c r="F74" s="4" t="s">
        <v>236</v>
      </c>
      <c r="G74" s="8" t="s">
        <v>237</v>
      </c>
      <c r="H74" s="8" t="s">
        <v>238</v>
      </c>
      <c r="I74" s="7">
        <v>72</v>
      </c>
      <c r="J74" s="7">
        <v>72</v>
      </c>
      <c r="K74" s="7"/>
      <c r="L74" s="7">
        <v>70</v>
      </c>
      <c r="M74" s="34" t="s">
        <v>239</v>
      </c>
      <c r="N74" s="17">
        <v>3600</v>
      </c>
      <c r="O74" s="10">
        <f>I74/(AG74*0.0951)</f>
        <v>7.1612132933363652E-3</v>
      </c>
      <c r="P74" s="7">
        <f t="shared" si="18"/>
        <v>0</v>
      </c>
      <c r="Q74" s="11">
        <f>(I74-L74)/L74</f>
        <v>2.8571428571428571E-2</v>
      </c>
      <c r="R74" s="7">
        <f t="shared" si="19"/>
        <v>1</v>
      </c>
      <c r="S74" s="7">
        <v>0</v>
      </c>
      <c r="T74" s="7">
        <v>1</v>
      </c>
      <c r="U74" s="7">
        <v>1</v>
      </c>
      <c r="V74" s="7">
        <v>0</v>
      </c>
      <c r="W74" s="7">
        <f t="shared" si="15"/>
        <v>3</v>
      </c>
      <c r="X74" s="7"/>
      <c r="Y74" s="7" t="s">
        <v>57</v>
      </c>
      <c r="Z74" s="7">
        <v>63</v>
      </c>
      <c r="AA74" s="7">
        <v>70</v>
      </c>
      <c r="AB74" s="7">
        <v>71</v>
      </c>
      <c r="AC74" s="7" t="s">
        <v>240</v>
      </c>
      <c r="AD74" s="7" t="s">
        <v>53</v>
      </c>
      <c r="AE74" s="35"/>
      <c r="AF74" s="7"/>
      <c r="AG74" s="17">
        <v>105722</v>
      </c>
      <c r="AH74" s="7" t="s">
        <v>68</v>
      </c>
      <c r="AI74" s="7" t="s">
        <v>57</v>
      </c>
      <c r="AJ74" s="7" t="s">
        <v>57</v>
      </c>
      <c r="AK74" s="7" t="s">
        <v>78</v>
      </c>
      <c r="AL74" s="7" t="s">
        <v>57</v>
      </c>
      <c r="AM74" s="7" t="s">
        <v>59</v>
      </c>
      <c r="AN74" s="4" t="e" vm="183">
        <v>#VALUE!</v>
      </c>
      <c r="AO74" s="15" cm="1" vm="184">
        <f t="array" aca="1" ref="AO74" ca="1">_FV(NTC_centri_2[[#This Row],[Grad2]],"Latitude")</f>
        <v>45.377777777778</v>
      </c>
      <c r="AP74" s="15" cm="1" vm="185">
        <f t="array" aca="1" ref="AP74" ca="1">_FV(NTC_centri_2[[#This Row],[Grad2]],"Longitude")</f>
        <v>20.386111111110999</v>
      </c>
      <c r="AQ74" s="15"/>
      <c r="AR74" s="15"/>
    </row>
    <row r="75" spans="1:46" ht="22.5" customHeight="1">
      <c r="A75" s="7" t="s">
        <v>520</v>
      </c>
      <c r="B75" s="7" t="str">
        <f t="shared" ref="B75:B76" si="20">IFERROR(IF(W75&lt;1, "⚠️",IF(AND(W75&gt;0, W75&lt;4), "⚙️",IF(AND(W75&gt;3, W75&lt;7), "🥈",IF(AND(W75&gt;6, W75&lt;9), "🏆",IF(W75&gt;8, "💎",0))))), "⚠️")</f>
        <v>⚠️</v>
      </c>
      <c r="C75" s="4" t="s">
        <v>470</v>
      </c>
      <c r="D75" s="4" t="s">
        <v>471</v>
      </c>
      <c r="E75" s="7" t="s">
        <v>472</v>
      </c>
      <c r="F75" s="7" t="s">
        <v>473</v>
      </c>
      <c r="G75" s="8" t="s">
        <v>474</v>
      </c>
      <c r="H75" s="8" t="s">
        <v>521</v>
      </c>
      <c r="I75" s="7"/>
      <c r="J75" s="34"/>
      <c r="K75" s="7"/>
      <c r="L75" s="7">
        <v>12</v>
      </c>
      <c r="M75" s="34" t="s">
        <v>522</v>
      </c>
      <c r="N75" s="7"/>
      <c r="O75" s="10" t="e">
        <f t="shared" ref="O75:O76" si="21">I75/(AG75*0.0951)</f>
        <v>#DIV/0!</v>
      </c>
      <c r="P75" s="7" t="e">
        <f t="shared" si="1"/>
        <v>#DIV/0!</v>
      </c>
      <c r="Q75" s="11">
        <f t="shared" ref="Q75:Q76" si="22">I75/L75</f>
        <v>0</v>
      </c>
      <c r="R75" s="7">
        <f t="shared" si="3"/>
        <v>1</v>
      </c>
      <c r="S75" s="7">
        <v>0</v>
      </c>
      <c r="T75" s="7">
        <v>1</v>
      </c>
      <c r="U75" s="7">
        <v>1</v>
      </c>
      <c r="V75" s="7">
        <v>0</v>
      </c>
      <c r="W75" s="7">
        <f t="shared" ref="W75:W76" si="23">IFERROR(P75+R75+S75+T75+U75+V75,0)</f>
        <v>0</v>
      </c>
      <c r="X75" s="7"/>
      <c r="Y75" s="12" t="s">
        <v>45</v>
      </c>
      <c r="Z75" s="7"/>
      <c r="AA75" s="7">
        <v>12</v>
      </c>
      <c r="AB75" s="7"/>
      <c r="AC75" s="7"/>
      <c r="AD75" s="7" t="s">
        <v>376</v>
      </c>
      <c r="AE75" s="59"/>
      <c r="AF75" s="59" t="s">
        <v>477</v>
      </c>
      <c r="AG75" s="13"/>
      <c r="AH75" s="7"/>
      <c r="AI75" s="7"/>
      <c r="AJ75" s="7"/>
      <c r="AK75" s="7"/>
      <c r="AL75" s="7" t="s">
        <v>45</v>
      </c>
      <c r="AM75" s="14"/>
      <c r="AN75" s="7" t="e" vm="186">
        <v>#VALUE!</v>
      </c>
      <c r="AO75" s="15" cm="1" vm="187">
        <f t="array" aca="1" ref="AO75" ca="1">_FV(NTC_centri_2[[#This Row],[Grad2]],"Latitude")</f>
        <v>44.966666666667003</v>
      </c>
      <c r="AP75" s="15" cm="1" vm="188">
        <f t="array" aca="1" ref="AP75" ca="1">_FV(NTC_centri_2[[#This Row],[Grad2]],"Longitude")</f>
        <v>16.7</v>
      </c>
      <c r="AQ75" s="15"/>
      <c r="AR75" s="15"/>
    </row>
    <row r="76" spans="1:46" ht="22.5" customHeight="1">
      <c r="A76" s="37" t="s">
        <v>1383</v>
      </c>
      <c r="B76" s="7" t="str">
        <f t="shared" si="20"/>
        <v>⚠️</v>
      </c>
      <c r="C76" s="4" t="s">
        <v>470</v>
      </c>
      <c r="D76" s="4" t="s">
        <v>471</v>
      </c>
      <c r="E76" s="7" t="s">
        <v>472</v>
      </c>
      <c r="F76" s="7" t="s">
        <v>473</v>
      </c>
      <c r="G76" s="8" t="s">
        <v>474</v>
      </c>
      <c r="H76" s="8" t="s">
        <v>524</v>
      </c>
      <c r="I76" s="7"/>
      <c r="J76" s="31"/>
      <c r="K76" s="31"/>
      <c r="L76" s="7">
        <v>16</v>
      </c>
      <c r="M76" s="31"/>
      <c r="N76" s="7"/>
      <c r="O76" s="10" t="e">
        <f t="shared" si="21"/>
        <v>#DIV/0!</v>
      </c>
      <c r="P76" s="7" t="e">
        <f t="shared" si="1"/>
        <v>#DIV/0!</v>
      </c>
      <c r="Q76" s="11">
        <f t="shared" si="22"/>
        <v>0</v>
      </c>
      <c r="R76" s="7">
        <f t="shared" si="3"/>
        <v>1</v>
      </c>
      <c r="S76" s="7">
        <v>0</v>
      </c>
      <c r="T76" s="7">
        <v>1</v>
      </c>
      <c r="U76" s="7">
        <v>1</v>
      </c>
      <c r="V76" s="7">
        <v>0</v>
      </c>
      <c r="W76" s="7">
        <f t="shared" si="23"/>
        <v>0</v>
      </c>
      <c r="X76" s="7"/>
      <c r="Y76" s="12" t="s">
        <v>45</v>
      </c>
      <c r="Z76" s="7"/>
      <c r="AA76" s="7">
        <v>16</v>
      </c>
      <c r="AB76" s="7"/>
      <c r="AC76" s="7"/>
      <c r="AD76" s="7"/>
      <c r="AE76" s="7"/>
      <c r="AF76" s="7"/>
      <c r="AG76" s="13"/>
      <c r="AH76" s="7"/>
      <c r="AI76" s="7"/>
      <c r="AJ76" s="7"/>
      <c r="AK76" s="7"/>
      <c r="AL76" s="7" t="s">
        <v>45</v>
      </c>
      <c r="AM76" s="12"/>
      <c r="AN76" s="37" t="e" vm="189">
        <v>#VALUE!</v>
      </c>
      <c r="AO76" s="73" cm="1" vm="190">
        <f t="array" aca="1" ref="AO76" ca="1">_FV(NTC_centri_2[[#This Row],[Grad2]],"Latitude")</f>
        <v>45.1</v>
      </c>
      <c r="AP76" s="73" cm="1" vm="191">
        <f t="array" aca="1" ref="AP76" ca="1">_FV(NTC_centri_2[[#This Row],[Grad2]],"Longitude")</f>
        <v>17.516666666667</v>
      </c>
      <c r="AQ76" s="73"/>
      <c r="AR76" s="73"/>
    </row>
    <row r="77" spans="1:46" ht="15">
      <c r="A77" s="37"/>
      <c r="B77" s="15"/>
      <c r="C77" s="37"/>
      <c r="D77" s="37"/>
      <c r="E77" s="37"/>
      <c r="F77" s="37"/>
      <c r="G77" s="32"/>
      <c r="H77" s="32"/>
      <c r="I77" s="15"/>
      <c r="J77" s="15"/>
      <c r="K77" s="15"/>
      <c r="L77" s="15"/>
      <c r="M77" s="15"/>
      <c r="N77" s="15"/>
      <c r="O77" s="15"/>
      <c r="P77" s="15"/>
      <c r="Q77" s="15"/>
      <c r="R77" s="15"/>
      <c r="S77" s="15"/>
      <c r="T77" s="15"/>
      <c r="U77" s="15"/>
      <c r="V77" s="15"/>
      <c r="W77" s="15"/>
      <c r="X77" s="15"/>
      <c r="Y77" s="37"/>
      <c r="Z77" s="15"/>
      <c r="AA77" s="15"/>
      <c r="AB77" s="15"/>
      <c r="AC77" s="15"/>
      <c r="AD77" s="15"/>
      <c r="AE77" s="15"/>
      <c r="AF77" s="15"/>
      <c r="AG77" s="15"/>
      <c r="AH77" s="15"/>
      <c r="AI77" s="15"/>
      <c r="AJ77" s="15"/>
      <c r="AK77" s="15"/>
      <c r="AL77" s="15"/>
      <c r="AM77" s="15"/>
      <c r="AN77" s="74"/>
      <c r="AO77" s="74"/>
      <c r="AP77" s="74"/>
      <c r="AQ77" s="74"/>
      <c r="AR77" s="74"/>
      <c r="AS77" s="74"/>
      <c r="AT77" s="74"/>
    </row>
    <row r="78" spans="1:46" ht="15">
      <c r="A78" s="37"/>
      <c r="B78" s="15"/>
      <c r="C78" s="37"/>
      <c r="D78" s="37"/>
      <c r="E78" s="37"/>
      <c r="F78" s="37"/>
      <c r="G78" s="32"/>
      <c r="H78" s="32"/>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row>
    <row r="79" spans="1:46" ht="15">
      <c r="A79" s="37"/>
      <c r="B79" s="15"/>
      <c r="C79" s="37"/>
      <c r="D79" s="37"/>
      <c r="E79" s="37"/>
      <c r="F79" s="37"/>
      <c r="G79" s="32"/>
      <c r="H79" s="32"/>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row>
    <row r="80" spans="1:46" ht="15">
      <c r="A80" s="37"/>
      <c r="B80" s="15"/>
      <c r="C80" s="37"/>
      <c r="D80" s="37"/>
      <c r="E80" s="37"/>
      <c r="F80" s="37"/>
      <c r="G80" s="32"/>
      <c r="H80" s="32"/>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row>
    <row r="81" spans="1:46" ht="15">
      <c r="A81" s="37"/>
      <c r="B81" s="15"/>
      <c r="C81" s="37"/>
      <c r="D81" s="37"/>
      <c r="E81" s="37"/>
      <c r="F81" s="37"/>
      <c r="G81" s="32"/>
      <c r="H81" s="32"/>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row>
    <row r="82" spans="1:46" ht="15">
      <c r="A82" s="37"/>
      <c r="B82" s="15"/>
      <c r="C82" s="37"/>
      <c r="D82" s="37"/>
      <c r="E82" s="37"/>
      <c r="F82" s="37"/>
      <c r="G82" s="32"/>
      <c r="H82" s="32"/>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row>
    <row r="83" spans="1:46" ht="15">
      <c r="A83" s="37"/>
      <c r="B83" s="15"/>
      <c r="C83" s="37"/>
      <c r="D83" s="37"/>
      <c r="E83" s="37"/>
      <c r="F83" s="37"/>
      <c r="G83" s="32"/>
      <c r="H83" s="32"/>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row>
    <row r="84" spans="1:46" ht="15">
      <c r="A84" s="37"/>
      <c r="B84" s="15"/>
      <c r="C84" s="37"/>
      <c r="D84" s="37"/>
      <c r="E84" s="37"/>
      <c r="F84" s="37"/>
      <c r="G84" s="32"/>
      <c r="H84" s="32"/>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row>
    <row r="85" spans="1:46" ht="15">
      <c r="A85" s="37"/>
      <c r="B85" s="15"/>
      <c r="C85" s="37"/>
      <c r="D85" s="37"/>
      <c r="E85" s="37"/>
      <c r="F85" s="37"/>
      <c r="G85" s="32"/>
      <c r="H85" s="32"/>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row>
    <row r="86" spans="1:46" ht="15">
      <c r="A86" s="37"/>
      <c r="B86" s="15"/>
      <c r="C86" s="37"/>
      <c r="D86" s="37"/>
      <c r="E86" s="37"/>
      <c r="F86" s="37"/>
      <c r="G86" s="32"/>
      <c r="H86" s="32"/>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row>
    <row r="87" spans="1:46" ht="15">
      <c r="A87" s="37"/>
      <c r="B87" s="15"/>
      <c r="C87" s="37"/>
      <c r="D87" s="37"/>
      <c r="E87" s="37"/>
      <c r="F87" s="37"/>
      <c r="G87" s="32"/>
      <c r="H87" s="32"/>
      <c r="I87" s="15"/>
      <c r="J87" s="15"/>
      <c r="K87" s="15"/>
      <c r="L87" s="15"/>
      <c r="M87" s="15"/>
      <c r="N87" s="15"/>
      <c r="O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row>
    <row r="88" spans="1:46" ht="15">
      <c r="A88" s="37"/>
      <c r="B88" s="15"/>
      <c r="C88" s="37"/>
      <c r="D88" s="37"/>
      <c r="E88" s="37"/>
      <c r="F88" s="37"/>
      <c r="G88" s="32"/>
      <c r="H88" s="32"/>
      <c r="I88" s="15"/>
      <c r="J88" s="15"/>
      <c r="K88" s="15"/>
      <c r="L88" s="15"/>
      <c r="M88" s="15"/>
      <c r="N88" s="15"/>
      <c r="O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row>
    <row r="89" spans="1:46" ht="15">
      <c r="A89" s="37"/>
      <c r="B89" s="15"/>
      <c r="C89" s="37"/>
      <c r="D89" s="37"/>
      <c r="E89" s="37"/>
      <c r="F89" s="37"/>
      <c r="G89" s="32"/>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row>
    <row r="90" spans="1:46" ht="15">
      <c r="A90" s="37"/>
      <c r="B90" s="15"/>
      <c r="C90" s="37"/>
      <c r="D90" s="37"/>
      <c r="E90" s="37"/>
      <c r="F90" s="37"/>
      <c r="G90" s="32"/>
      <c r="H90" s="32"/>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row>
    <row r="91" spans="1:46" ht="15">
      <c r="A91" s="37"/>
      <c r="B91" s="15"/>
      <c r="C91" s="37"/>
      <c r="D91" s="37"/>
      <c r="E91" s="37"/>
      <c r="F91" s="37"/>
      <c r="G91" s="32"/>
      <c r="H91" s="32"/>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row>
    <row r="92" spans="1:46" ht="15">
      <c r="A92" s="37"/>
      <c r="B92" s="15"/>
      <c r="C92" s="37"/>
      <c r="D92" s="37"/>
      <c r="E92" s="37"/>
      <c r="F92" s="37"/>
      <c r="G92" s="32"/>
      <c r="H92" s="32"/>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row>
    <row r="93" spans="1:46" ht="15">
      <c r="A93" s="37"/>
      <c r="B93" s="15"/>
      <c r="C93" s="37"/>
      <c r="D93" s="37"/>
      <c r="E93" s="37"/>
      <c r="F93" s="37"/>
      <c r="G93" s="32"/>
      <c r="H93" s="32"/>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row>
    <row r="94" spans="1:46" ht="15">
      <c r="A94" s="37"/>
      <c r="B94" s="15"/>
      <c r="C94" s="37"/>
      <c r="D94" s="37"/>
      <c r="E94" s="37"/>
      <c r="F94" s="37"/>
      <c r="G94" s="32"/>
      <c r="H94" s="32"/>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row>
    <row r="95" spans="1:46" ht="15">
      <c r="A95" s="37"/>
      <c r="B95" s="15"/>
      <c r="C95" s="37"/>
      <c r="D95" s="37"/>
      <c r="E95" s="37"/>
      <c r="F95" s="37"/>
      <c r="G95" s="32"/>
      <c r="H95" s="32"/>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row>
    <row r="96" spans="1:46" ht="15">
      <c r="A96" s="37"/>
      <c r="B96" s="15"/>
      <c r="C96" s="37"/>
      <c r="D96" s="37"/>
      <c r="E96" s="37"/>
      <c r="F96" s="37"/>
      <c r="G96" s="32"/>
      <c r="H96" s="32"/>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row>
    <row r="97" spans="1:46" ht="15">
      <c r="A97" s="37"/>
      <c r="B97" s="15"/>
      <c r="C97" s="37"/>
      <c r="D97" s="37"/>
      <c r="E97" s="37"/>
      <c r="F97" s="37"/>
      <c r="G97" s="32"/>
      <c r="H97" s="32"/>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row>
    <row r="98" spans="1:46" ht="15">
      <c r="A98" s="37"/>
      <c r="B98" s="15"/>
      <c r="C98" s="37"/>
      <c r="D98" s="37"/>
      <c r="E98" s="37"/>
      <c r="F98" s="37"/>
      <c r="G98" s="32"/>
      <c r="H98" s="32"/>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row>
    <row r="99" spans="1:46" ht="15">
      <c r="A99" s="37"/>
      <c r="B99" s="15"/>
      <c r="C99" s="37"/>
      <c r="D99" s="37"/>
      <c r="E99" s="37"/>
      <c r="F99" s="37"/>
      <c r="G99" s="32"/>
      <c r="H99" s="32"/>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row>
    <row r="100" spans="1:46" ht="15">
      <c r="A100" s="37"/>
      <c r="B100" s="15"/>
      <c r="C100" s="37"/>
      <c r="D100" s="37"/>
      <c r="E100" s="37"/>
      <c r="F100" s="37"/>
      <c r="G100" s="32"/>
      <c r="H100" s="32"/>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row>
    <row r="101" spans="1:46" ht="15">
      <c r="A101" s="37"/>
      <c r="B101" s="15"/>
      <c r="C101" s="37"/>
      <c r="D101" s="37"/>
      <c r="E101" s="37"/>
      <c r="F101" s="37"/>
      <c r="G101" s="32"/>
      <c r="H101" s="32"/>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row>
    <row r="102" spans="1:46" ht="15">
      <c r="A102" s="37"/>
      <c r="B102" s="15"/>
      <c r="C102" s="37"/>
      <c r="D102" s="37"/>
      <c r="E102" s="37"/>
      <c r="F102" s="37"/>
      <c r="G102" s="32"/>
      <c r="H102" s="32"/>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row>
    <row r="103" spans="1:46" ht="15">
      <c r="A103" s="37"/>
      <c r="B103" s="15"/>
      <c r="C103" s="37"/>
      <c r="D103" s="37"/>
      <c r="E103" s="37"/>
      <c r="F103" s="37"/>
      <c r="G103" s="32"/>
      <c r="H103" s="32"/>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row>
    <row r="104" spans="1:46" ht="15">
      <c r="A104" s="37"/>
      <c r="B104" s="15"/>
      <c r="C104" s="37"/>
      <c r="D104" s="37"/>
      <c r="E104" s="37"/>
      <c r="F104" s="37"/>
      <c r="G104" s="32"/>
      <c r="H104" s="32"/>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row>
    <row r="105" spans="1:46" ht="15">
      <c r="A105" s="37"/>
      <c r="B105" s="15"/>
      <c r="C105" s="37"/>
      <c r="D105" s="37"/>
      <c r="E105" s="37"/>
      <c r="F105" s="37"/>
      <c r="G105" s="32"/>
      <c r="H105" s="32"/>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row>
    <row r="106" spans="1:46" ht="15">
      <c r="A106" s="37"/>
      <c r="B106" s="15"/>
      <c r="C106" s="37"/>
      <c r="D106" s="37"/>
      <c r="E106" s="37"/>
      <c r="F106" s="37"/>
      <c r="G106" s="32"/>
      <c r="H106" s="32"/>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row>
    <row r="107" spans="1:46" ht="15">
      <c r="A107" s="37"/>
      <c r="B107" s="15"/>
      <c r="C107" s="37"/>
      <c r="D107" s="37"/>
      <c r="E107" s="37"/>
      <c r="F107" s="37"/>
      <c r="G107" s="32"/>
      <c r="H107" s="32"/>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row>
    <row r="108" spans="1:46" ht="15">
      <c r="A108" s="37"/>
      <c r="B108" s="15"/>
      <c r="C108" s="37"/>
      <c r="D108" s="37"/>
      <c r="E108" s="37"/>
      <c r="F108" s="37"/>
      <c r="G108" s="32"/>
      <c r="H108" s="32"/>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row>
    <row r="109" spans="1:46" ht="15">
      <c r="A109" s="37"/>
      <c r="B109" s="15"/>
      <c r="C109" s="37"/>
      <c r="D109" s="37"/>
      <c r="E109" s="37"/>
      <c r="F109" s="37"/>
      <c r="G109" s="32"/>
      <c r="H109" s="32"/>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row>
    <row r="110" spans="1:46" ht="15">
      <c r="A110" s="37"/>
      <c r="B110" s="15"/>
      <c r="C110" s="37"/>
      <c r="D110" s="37"/>
      <c r="E110" s="37"/>
      <c r="F110" s="37"/>
      <c r="G110" s="32"/>
      <c r="H110" s="32"/>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row>
    <row r="111" spans="1:46" ht="15">
      <c r="A111" s="37"/>
      <c r="B111" s="15"/>
      <c r="C111" s="37"/>
      <c r="D111" s="37"/>
      <c r="E111" s="37"/>
      <c r="F111" s="37"/>
      <c r="G111" s="32"/>
      <c r="H111" s="32"/>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row>
    <row r="112" spans="1:46" ht="15">
      <c r="A112" s="37"/>
      <c r="B112" s="15"/>
      <c r="C112" s="37"/>
      <c r="D112" s="37"/>
      <c r="E112" s="37"/>
      <c r="F112" s="37"/>
      <c r="G112" s="32"/>
      <c r="H112" s="32"/>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row>
    <row r="113" spans="1:46" ht="15">
      <c r="A113" s="37"/>
      <c r="B113" s="15"/>
      <c r="C113" s="37"/>
      <c r="D113" s="37"/>
      <c r="E113" s="37"/>
      <c r="F113" s="37"/>
      <c r="G113" s="32"/>
      <c r="H113" s="32"/>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row>
    <row r="114" spans="1:46" ht="15">
      <c r="A114" s="37"/>
      <c r="B114" s="15"/>
      <c r="C114" s="37"/>
      <c r="D114" s="37"/>
      <c r="E114" s="37"/>
      <c r="F114" s="37"/>
      <c r="G114" s="32"/>
      <c r="H114" s="32"/>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row>
    <row r="115" spans="1:46" ht="15">
      <c r="A115" s="37"/>
      <c r="B115" s="15"/>
      <c r="C115" s="37"/>
      <c r="D115" s="37"/>
      <c r="E115" s="37"/>
      <c r="F115" s="37"/>
      <c r="G115" s="32"/>
      <c r="H115" s="32"/>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row>
    <row r="116" spans="1:46" ht="15">
      <c r="A116" s="37"/>
      <c r="B116" s="15"/>
      <c r="C116" s="37"/>
      <c r="D116" s="37"/>
      <c r="E116" s="37"/>
      <c r="F116" s="37"/>
      <c r="G116" s="32"/>
      <c r="H116" s="32"/>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row>
    <row r="117" spans="1:46" ht="15">
      <c r="A117" s="37"/>
      <c r="B117" s="15"/>
      <c r="C117" s="37"/>
      <c r="D117" s="37"/>
      <c r="E117" s="37"/>
      <c r="F117" s="37"/>
      <c r="G117" s="32"/>
      <c r="H117" s="32"/>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row>
    <row r="118" spans="1:46" ht="15">
      <c r="A118" s="37"/>
      <c r="B118" s="15"/>
      <c r="C118" s="37"/>
      <c r="D118" s="37"/>
      <c r="E118" s="37"/>
      <c r="F118" s="37"/>
      <c r="G118" s="32"/>
      <c r="H118" s="32"/>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row>
    <row r="119" spans="1:46" ht="15">
      <c r="A119" s="37"/>
      <c r="B119" s="15"/>
      <c r="C119" s="37"/>
      <c r="D119" s="37"/>
      <c r="E119" s="37"/>
      <c r="F119" s="37"/>
      <c r="G119" s="32"/>
      <c r="H119" s="32"/>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row>
    <row r="120" spans="1:46" ht="15">
      <c r="A120" s="37"/>
      <c r="B120" s="15"/>
      <c r="C120" s="37"/>
      <c r="D120" s="37"/>
      <c r="E120" s="37"/>
      <c r="F120" s="37"/>
      <c r="G120" s="32"/>
      <c r="H120" s="32"/>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row>
    <row r="121" spans="1:46" ht="15">
      <c r="A121" s="37"/>
      <c r="B121" s="15"/>
      <c r="C121" s="37"/>
      <c r="D121" s="37"/>
      <c r="E121" s="37"/>
      <c r="F121" s="37"/>
      <c r="G121" s="32"/>
      <c r="H121" s="32"/>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row>
    <row r="122" spans="1:46" ht="15">
      <c r="A122" s="37"/>
      <c r="B122" s="15"/>
      <c r="C122" s="37"/>
      <c r="D122" s="37"/>
      <c r="E122" s="37"/>
      <c r="F122" s="37"/>
      <c r="G122" s="32"/>
      <c r="H122" s="32"/>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row>
    <row r="123" spans="1:46" ht="15">
      <c r="A123" s="37"/>
      <c r="B123" s="15"/>
      <c r="C123" s="37"/>
      <c r="D123" s="37"/>
      <c r="E123" s="37"/>
      <c r="F123" s="37"/>
      <c r="G123" s="32"/>
      <c r="H123" s="32"/>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row>
    <row r="124" spans="1:46" ht="15">
      <c r="A124" s="37"/>
      <c r="B124" s="15"/>
      <c r="C124" s="37"/>
      <c r="D124" s="37"/>
      <c r="E124" s="37"/>
      <c r="F124" s="37"/>
      <c r="G124" s="32"/>
      <c r="H124" s="32"/>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row>
    <row r="125" spans="1:46" ht="15">
      <c r="A125" s="37"/>
      <c r="B125" s="15"/>
      <c r="C125" s="37"/>
      <c r="D125" s="37"/>
      <c r="E125" s="37"/>
      <c r="F125" s="37"/>
      <c r="G125" s="32"/>
      <c r="H125" s="32"/>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row>
    <row r="126" spans="1:46" ht="15">
      <c r="A126" s="37"/>
      <c r="B126" s="15"/>
      <c r="C126" s="37"/>
      <c r="D126" s="37"/>
      <c r="E126" s="37"/>
      <c r="F126" s="37"/>
      <c r="G126" s="32"/>
      <c r="H126" s="32"/>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row>
    <row r="127" spans="1:46" ht="15">
      <c r="A127" s="37"/>
      <c r="B127" s="15"/>
      <c r="C127" s="37"/>
      <c r="D127" s="37"/>
      <c r="E127" s="37"/>
      <c r="F127" s="37"/>
      <c r="G127" s="32"/>
      <c r="H127" s="32"/>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row>
    <row r="128" spans="1:46" ht="15">
      <c r="A128" s="37"/>
      <c r="B128" s="15"/>
      <c r="C128" s="37"/>
      <c r="D128" s="37"/>
      <c r="E128" s="37"/>
      <c r="F128" s="37"/>
      <c r="G128" s="32"/>
      <c r="H128" s="32"/>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row>
    <row r="129" spans="1:46" ht="15">
      <c r="A129" s="37"/>
      <c r="B129" s="15"/>
      <c r="C129" s="37"/>
      <c r="D129" s="37"/>
      <c r="E129" s="37"/>
      <c r="F129" s="37"/>
      <c r="G129" s="32"/>
      <c r="H129" s="32"/>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row>
    <row r="130" spans="1:46" ht="15">
      <c r="A130" s="37"/>
      <c r="B130" s="15"/>
      <c r="C130" s="37"/>
      <c r="D130" s="37"/>
      <c r="E130" s="37"/>
      <c r="F130" s="37"/>
      <c r="G130" s="32"/>
      <c r="H130" s="32"/>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row>
    <row r="131" spans="1:46" ht="15">
      <c r="A131" s="37"/>
      <c r="B131" s="15"/>
      <c r="C131" s="37"/>
      <c r="D131" s="37"/>
      <c r="E131" s="37"/>
      <c r="F131" s="37"/>
      <c r="G131" s="32"/>
      <c r="H131" s="32"/>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row>
    <row r="132" spans="1:46" ht="15">
      <c r="A132" s="37"/>
      <c r="B132" s="15"/>
      <c r="C132" s="37"/>
      <c r="D132" s="37"/>
      <c r="E132" s="37"/>
      <c r="F132" s="37"/>
      <c r="G132" s="32"/>
      <c r="H132" s="32"/>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row>
    <row r="133" spans="1:46" ht="15">
      <c r="A133" s="37"/>
      <c r="B133" s="15"/>
      <c r="C133" s="37"/>
      <c r="D133" s="37"/>
      <c r="E133" s="37"/>
      <c r="F133" s="37"/>
      <c r="G133" s="32"/>
      <c r="H133" s="32"/>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row>
    <row r="134" spans="1:46" ht="15">
      <c r="A134" s="37"/>
      <c r="B134" s="15"/>
      <c r="C134" s="37"/>
      <c r="D134" s="37"/>
      <c r="E134" s="37"/>
      <c r="F134" s="37"/>
      <c r="G134" s="32"/>
      <c r="H134" s="32"/>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row>
    <row r="135" spans="1:46" ht="15">
      <c r="A135" s="37"/>
      <c r="B135" s="15"/>
      <c r="C135" s="37"/>
      <c r="D135" s="37"/>
      <c r="E135" s="37"/>
      <c r="F135" s="37"/>
      <c r="G135" s="32"/>
      <c r="H135" s="32"/>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row>
    <row r="136" spans="1:46" ht="15">
      <c r="A136" s="37"/>
      <c r="B136" s="15"/>
      <c r="C136" s="37"/>
      <c r="D136" s="37"/>
      <c r="E136" s="37"/>
      <c r="F136" s="37"/>
      <c r="G136" s="32"/>
      <c r="H136" s="32"/>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row>
    <row r="137" spans="1:46" ht="15">
      <c r="A137" s="37"/>
      <c r="B137" s="15"/>
      <c r="C137" s="37"/>
      <c r="D137" s="37"/>
      <c r="E137" s="37"/>
      <c r="F137" s="37"/>
      <c r="G137" s="32"/>
      <c r="H137" s="32"/>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row>
    <row r="138" spans="1:46" ht="15">
      <c r="A138" s="37"/>
      <c r="B138" s="15"/>
      <c r="C138" s="37"/>
      <c r="D138" s="37"/>
      <c r="E138" s="37"/>
      <c r="F138" s="37"/>
      <c r="G138" s="32"/>
      <c r="H138" s="32"/>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row>
    <row r="139" spans="1:46" ht="15">
      <c r="A139" s="37"/>
      <c r="B139" s="15"/>
      <c r="C139" s="37"/>
      <c r="D139" s="37"/>
      <c r="E139" s="37"/>
      <c r="F139" s="37"/>
      <c r="G139" s="32"/>
      <c r="H139" s="32"/>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row>
    <row r="140" spans="1:46" ht="15">
      <c r="A140" s="37"/>
      <c r="B140" s="15"/>
      <c r="C140" s="37"/>
      <c r="D140" s="37"/>
      <c r="E140" s="37"/>
      <c r="F140" s="37"/>
      <c r="G140" s="32"/>
      <c r="H140" s="32"/>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row>
    <row r="141" spans="1:46" ht="15">
      <c r="A141" s="37"/>
      <c r="B141" s="15"/>
      <c r="C141" s="37"/>
      <c r="D141" s="37"/>
      <c r="E141" s="37"/>
      <c r="F141" s="37"/>
      <c r="G141" s="32"/>
      <c r="H141" s="32"/>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row>
    <row r="142" spans="1:46" ht="15">
      <c r="A142" s="37"/>
      <c r="B142" s="15"/>
      <c r="C142" s="37"/>
      <c r="D142" s="37"/>
      <c r="E142" s="37"/>
      <c r="F142" s="37"/>
      <c r="G142" s="32"/>
      <c r="H142" s="32"/>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row>
    <row r="143" spans="1:46" ht="15">
      <c r="A143" s="37"/>
      <c r="B143" s="15"/>
      <c r="C143" s="37"/>
      <c r="D143" s="37"/>
      <c r="E143" s="37"/>
      <c r="F143" s="37"/>
      <c r="G143" s="32"/>
      <c r="H143" s="32"/>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row>
    <row r="144" spans="1:46" ht="15">
      <c r="A144" s="37"/>
      <c r="B144" s="15"/>
      <c r="C144" s="37"/>
      <c r="D144" s="37"/>
      <c r="E144" s="37"/>
      <c r="F144" s="37"/>
      <c r="G144" s="32"/>
      <c r="H144" s="32"/>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row>
    <row r="145" spans="1:46" ht="15">
      <c r="A145" s="37"/>
      <c r="B145" s="15"/>
      <c r="C145" s="37"/>
      <c r="D145" s="37"/>
      <c r="E145" s="37"/>
      <c r="F145" s="37"/>
      <c r="G145" s="32"/>
      <c r="H145" s="32"/>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row>
    <row r="146" spans="1:46" ht="15">
      <c r="A146" s="37"/>
      <c r="B146" s="15"/>
      <c r="C146" s="37"/>
      <c r="D146" s="37"/>
      <c r="E146" s="37"/>
      <c r="F146" s="37"/>
      <c r="G146" s="32"/>
      <c r="H146" s="32"/>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row>
    <row r="147" spans="1:46" ht="15">
      <c r="A147" s="37"/>
      <c r="B147" s="15"/>
      <c r="C147" s="37"/>
      <c r="D147" s="37"/>
      <c r="E147" s="37"/>
      <c r="F147" s="37"/>
      <c r="G147" s="32"/>
      <c r="H147" s="32"/>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row>
    <row r="148" spans="1:46" ht="15">
      <c r="A148" s="37"/>
      <c r="B148" s="15"/>
      <c r="C148" s="37"/>
      <c r="D148" s="37"/>
      <c r="E148" s="37"/>
      <c r="F148" s="37"/>
      <c r="G148" s="32"/>
      <c r="H148" s="32"/>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row>
    <row r="149" spans="1:46" ht="15">
      <c r="A149" s="37"/>
      <c r="B149" s="15"/>
      <c r="C149" s="37"/>
      <c r="D149" s="37"/>
      <c r="E149" s="37"/>
      <c r="F149" s="37"/>
      <c r="G149" s="32"/>
      <c r="H149" s="32"/>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row>
    <row r="150" spans="1:46" ht="15">
      <c r="A150" s="37"/>
      <c r="B150" s="15"/>
      <c r="C150" s="37"/>
      <c r="D150" s="37"/>
      <c r="E150" s="37"/>
      <c r="F150" s="37"/>
      <c r="G150" s="32"/>
      <c r="H150" s="32"/>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row>
    <row r="151" spans="1:46" ht="15">
      <c r="A151" s="37"/>
      <c r="B151" s="15"/>
      <c r="C151" s="37"/>
      <c r="D151" s="37"/>
      <c r="E151" s="37"/>
      <c r="F151" s="37"/>
      <c r="G151" s="32"/>
      <c r="H151" s="32"/>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row>
    <row r="152" spans="1:46" ht="15">
      <c r="A152" s="37"/>
      <c r="B152" s="15"/>
      <c r="C152" s="37"/>
      <c r="D152" s="37"/>
      <c r="E152" s="37"/>
      <c r="F152" s="37"/>
      <c r="G152" s="32"/>
      <c r="H152" s="32"/>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row>
    <row r="153" spans="1:46" ht="15">
      <c r="A153" s="37"/>
      <c r="B153" s="15"/>
      <c r="C153" s="37"/>
      <c r="D153" s="37"/>
      <c r="E153" s="37"/>
      <c r="F153" s="37"/>
      <c r="G153" s="32"/>
      <c r="H153" s="32"/>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row>
    <row r="154" spans="1:46" ht="15">
      <c r="A154" s="37"/>
      <c r="B154" s="15"/>
      <c r="C154" s="37"/>
      <c r="D154" s="37"/>
      <c r="E154" s="37"/>
      <c r="F154" s="37"/>
      <c r="G154" s="32"/>
      <c r="H154" s="32"/>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row>
    <row r="155" spans="1:46" ht="15">
      <c r="A155" s="37"/>
      <c r="B155" s="15"/>
      <c r="C155" s="37"/>
      <c r="D155" s="37"/>
      <c r="E155" s="37"/>
      <c r="F155" s="37"/>
      <c r="G155" s="32"/>
      <c r="H155" s="32"/>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row>
    <row r="156" spans="1:46" ht="15">
      <c r="A156" s="37"/>
      <c r="B156" s="15"/>
      <c r="C156" s="37"/>
      <c r="D156" s="37"/>
      <c r="E156" s="37"/>
      <c r="F156" s="37"/>
      <c r="G156" s="32"/>
      <c r="H156" s="32"/>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row>
    <row r="157" spans="1:46" ht="15">
      <c r="A157" s="37"/>
      <c r="B157" s="15"/>
      <c r="C157" s="37"/>
      <c r="D157" s="37"/>
      <c r="E157" s="37"/>
      <c r="F157" s="37"/>
      <c r="G157" s="32"/>
      <c r="H157" s="32"/>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row>
    <row r="158" spans="1:46" ht="15">
      <c r="A158" s="37"/>
      <c r="B158" s="15"/>
      <c r="C158" s="37"/>
      <c r="D158" s="37"/>
      <c r="E158" s="37"/>
      <c r="F158" s="37"/>
      <c r="G158" s="32"/>
      <c r="H158" s="32"/>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row>
    <row r="159" spans="1:46" ht="15">
      <c r="A159" s="37"/>
      <c r="B159" s="15"/>
      <c r="C159" s="37"/>
      <c r="D159" s="37"/>
      <c r="E159" s="37"/>
      <c r="F159" s="37"/>
      <c r="G159" s="32"/>
      <c r="H159" s="32"/>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row>
    <row r="160" spans="1:46" ht="15">
      <c r="A160" s="37"/>
      <c r="B160" s="15"/>
      <c r="C160" s="37"/>
      <c r="D160" s="37"/>
      <c r="E160" s="37"/>
      <c r="F160" s="37"/>
      <c r="G160" s="32"/>
      <c r="H160" s="32"/>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row>
    <row r="161" spans="1:46" ht="15">
      <c r="A161" s="37"/>
      <c r="B161" s="15"/>
      <c r="C161" s="37"/>
      <c r="D161" s="37"/>
      <c r="E161" s="37"/>
      <c r="F161" s="37"/>
      <c r="G161" s="32"/>
      <c r="H161" s="32"/>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row>
    <row r="162" spans="1:46" ht="15">
      <c r="A162" s="37"/>
      <c r="B162" s="15"/>
      <c r="C162" s="37"/>
      <c r="D162" s="37"/>
      <c r="E162" s="37"/>
      <c r="F162" s="37"/>
      <c r="G162" s="32"/>
      <c r="H162" s="32"/>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row>
    <row r="163" spans="1:46" ht="15">
      <c r="A163" s="37"/>
      <c r="B163" s="15"/>
      <c r="C163" s="37"/>
      <c r="D163" s="37"/>
      <c r="E163" s="37"/>
      <c r="F163" s="37"/>
      <c r="G163" s="32"/>
      <c r="H163" s="32"/>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row>
    <row r="164" spans="1:46" ht="15">
      <c r="A164" s="37"/>
      <c r="B164" s="15"/>
      <c r="C164" s="37"/>
      <c r="D164" s="37"/>
      <c r="E164" s="37"/>
      <c r="F164" s="37"/>
      <c r="G164" s="32"/>
      <c r="H164" s="32"/>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row>
    <row r="165" spans="1:46" ht="15">
      <c r="A165" s="37"/>
      <c r="B165" s="15"/>
      <c r="C165" s="37"/>
      <c r="D165" s="37"/>
      <c r="E165" s="37"/>
      <c r="F165" s="37"/>
      <c r="G165" s="32"/>
      <c r="H165" s="32"/>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row>
    <row r="166" spans="1:46" ht="15">
      <c r="A166" s="37"/>
      <c r="B166" s="15"/>
      <c r="C166" s="37"/>
      <c r="D166" s="37"/>
      <c r="E166" s="37"/>
      <c r="F166" s="37"/>
      <c r="G166" s="32"/>
      <c r="H166" s="32"/>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row>
    <row r="167" spans="1:46" ht="15">
      <c r="A167" s="37"/>
      <c r="B167" s="15"/>
      <c r="C167" s="37"/>
      <c r="D167" s="37"/>
      <c r="E167" s="37"/>
      <c r="F167" s="37"/>
      <c r="G167" s="32"/>
      <c r="H167" s="32"/>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row>
    <row r="168" spans="1:46" ht="15">
      <c r="A168" s="37"/>
      <c r="B168" s="15"/>
      <c r="C168" s="37"/>
      <c r="D168" s="37"/>
      <c r="E168" s="37"/>
      <c r="F168" s="37"/>
      <c r="G168" s="32"/>
      <c r="H168" s="32"/>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row>
    <row r="169" spans="1:46" ht="15">
      <c r="A169" s="37"/>
      <c r="B169" s="15"/>
      <c r="C169" s="37"/>
      <c r="D169" s="37"/>
      <c r="E169" s="37"/>
      <c r="F169" s="37"/>
      <c r="G169" s="32"/>
      <c r="H169" s="32"/>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row>
    <row r="170" spans="1:46" ht="15">
      <c r="A170" s="37"/>
      <c r="B170" s="15"/>
      <c r="C170" s="37"/>
      <c r="D170" s="37"/>
      <c r="E170" s="37"/>
      <c r="F170" s="37"/>
      <c r="G170" s="32"/>
      <c r="H170" s="32"/>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row>
    <row r="171" spans="1:46" ht="15">
      <c r="A171" s="37"/>
      <c r="B171" s="15"/>
      <c r="C171" s="37"/>
      <c r="D171" s="37"/>
      <c r="E171" s="37"/>
      <c r="F171" s="37"/>
      <c r="G171" s="32"/>
      <c r="H171" s="32"/>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row>
    <row r="172" spans="1:46" ht="15">
      <c r="A172" s="37"/>
      <c r="B172" s="15"/>
      <c r="C172" s="37"/>
      <c r="D172" s="37"/>
      <c r="E172" s="37"/>
      <c r="F172" s="37"/>
      <c r="G172" s="32"/>
      <c r="H172" s="32"/>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row>
    <row r="173" spans="1:46" ht="15">
      <c r="A173" s="37"/>
      <c r="B173" s="15"/>
      <c r="C173" s="37"/>
      <c r="D173" s="37"/>
      <c r="E173" s="37"/>
      <c r="F173" s="37"/>
      <c r="G173" s="32"/>
      <c r="H173" s="32"/>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row>
    <row r="174" spans="1:46" ht="15">
      <c r="A174" s="37"/>
      <c r="B174" s="15"/>
      <c r="C174" s="37"/>
      <c r="D174" s="37"/>
      <c r="E174" s="37"/>
      <c r="F174" s="37"/>
      <c r="G174" s="32"/>
      <c r="H174" s="32"/>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row>
    <row r="175" spans="1:46" ht="15">
      <c r="A175" s="37"/>
      <c r="B175" s="15"/>
      <c r="C175" s="37"/>
      <c r="D175" s="37"/>
      <c r="E175" s="37"/>
      <c r="F175" s="37"/>
      <c r="G175" s="32"/>
      <c r="H175" s="32"/>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row>
    <row r="176" spans="1:46" ht="15">
      <c r="A176" s="37"/>
      <c r="B176" s="15"/>
      <c r="C176" s="37"/>
      <c r="D176" s="37"/>
      <c r="E176" s="37"/>
      <c r="F176" s="37"/>
      <c r="G176" s="32"/>
      <c r="H176" s="32"/>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row>
    <row r="177" spans="1:46" ht="15">
      <c r="A177" s="37"/>
      <c r="B177" s="15"/>
      <c r="C177" s="37"/>
      <c r="D177" s="37"/>
      <c r="E177" s="37"/>
      <c r="F177" s="37"/>
      <c r="G177" s="32"/>
      <c r="H177" s="32"/>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row>
    <row r="178" spans="1:46" ht="15">
      <c r="A178" s="37"/>
      <c r="B178" s="15"/>
      <c r="C178" s="37"/>
      <c r="D178" s="37"/>
      <c r="E178" s="37"/>
      <c r="F178" s="37"/>
      <c r="G178" s="32"/>
      <c r="H178" s="32"/>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row>
    <row r="179" spans="1:46" ht="15">
      <c r="A179" s="37"/>
      <c r="B179" s="15"/>
      <c r="C179" s="37"/>
      <c r="D179" s="37"/>
      <c r="E179" s="37"/>
      <c r="F179" s="37"/>
      <c r="G179" s="32"/>
      <c r="H179" s="32"/>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row>
    <row r="180" spans="1:46" ht="15">
      <c r="A180" s="37"/>
      <c r="B180" s="15"/>
      <c r="C180" s="37"/>
      <c r="D180" s="37"/>
      <c r="E180" s="37"/>
      <c r="F180" s="37"/>
      <c r="G180" s="32"/>
      <c r="H180" s="32"/>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row>
    <row r="181" spans="1:46" ht="15">
      <c r="A181" s="37"/>
      <c r="B181" s="15"/>
      <c r="C181" s="37"/>
      <c r="D181" s="37"/>
      <c r="E181" s="37"/>
      <c r="F181" s="37"/>
      <c r="G181" s="32"/>
      <c r="H181" s="32"/>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row>
    <row r="182" spans="1:46" ht="15">
      <c r="A182" s="37"/>
      <c r="B182" s="15"/>
      <c r="C182" s="37"/>
      <c r="D182" s="37"/>
      <c r="E182" s="37"/>
      <c r="F182" s="37"/>
      <c r="G182" s="32"/>
      <c r="H182" s="32"/>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row>
    <row r="183" spans="1:46" ht="15">
      <c r="A183" s="37"/>
      <c r="B183" s="15"/>
      <c r="C183" s="37"/>
      <c r="D183" s="37"/>
      <c r="E183" s="37"/>
      <c r="F183" s="37"/>
      <c r="G183" s="32"/>
      <c r="H183" s="32"/>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row>
    <row r="184" spans="1:46" ht="15">
      <c r="A184" s="37"/>
      <c r="B184" s="15"/>
      <c r="C184" s="37"/>
      <c r="D184" s="37"/>
      <c r="E184" s="37"/>
      <c r="F184" s="37"/>
      <c r="G184" s="32"/>
      <c r="H184" s="32"/>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row>
    <row r="185" spans="1:46" ht="15">
      <c r="A185" s="37"/>
      <c r="B185" s="15"/>
      <c r="C185" s="37"/>
      <c r="D185" s="37"/>
      <c r="E185" s="37"/>
      <c r="F185" s="37"/>
      <c r="G185" s="32"/>
      <c r="H185" s="32"/>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row>
    <row r="186" spans="1:46" ht="15">
      <c r="A186" s="37"/>
      <c r="B186" s="15"/>
      <c r="C186" s="37"/>
      <c r="D186" s="37"/>
      <c r="E186" s="37"/>
      <c r="F186" s="37"/>
      <c r="G186" s="32"/>
      <c r="H186" s="32"/>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row>
    <row r="187" spans="1:46" ht="15">
      <c r="A187" s="37"/>
      <c r="B187" s="15"/>
      <c r="C187" s="37"/>
      <c r="D187" s="37"/>
      <c r="E187" s="37"/>
      <c r="F187" s="37"/>
      <c r="G187" s="32"/>
      <c r="H187" s="32"/>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row>
    <row r="188" spans="1:46" ht="15">
      <c r="A188" s="37"/>
      <c r="B188" s="15"/>
      <c r="C188" s="37"/>
      <c r="D188" s="37"/>
      <c r="E188" s="37"/>
      <c r="F188" s="37"/>
      <c r="G188" s="32"/>
      <c r="H188" s="32"/>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row>
    <row r="189" spans="1:46" ht="15">
      <c r="A189" s="37"/>
      <c r="B189" s="15"/>
      <c r="C189" s="37"/>
      <c r="D189" s="37"/>
      <c r="E189" s="37"/>
      <c r="F189" s="37"/>
      <c r="G189" s="32"/>
      <c r="H189" s="32"/>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row>
    <row r="190" spans="1:46" ht="15">
      <c r="A190" s="37"/>
      <c r="B190" s="15"/>
      <c r="C190" s="37"/>
      <c r="D190" s="37"/>
      <c r="E190" s="37"/>
      <c r="F190" s="37"/>
      <c r="G190" s="32"/>
      <c r="H190" s="32"/>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row>
    <row r="191" spans="1:46" ht="15">
      <c r="A191" s="37"/>
      <c r="B191" s="15"/>
      <c r="C191" s="37"/>
      <c r="D191" s="37"/>
      <c r="E191" s="37"/>
      <c r="F191" s="37"/>
      <c r="G191" s="32"/>
      <c r="H191" s="32"/>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row>
    <row r="192" spans="1:46" ht="15">
      <c r="A192" s="37"/>
      <c r="B192" s="15"/>
      <c r="C192" s="37"/>
      <c r="D192" s="37"/>
      <c r="E192" s="37"/>
      <c r="F192" s="37"/>
      <c r="G192" s="32"/>
      <c r="H192" s="32"/>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row>
    <row r="193" spans="1:46" ht="15">
      <c r="A193" s="37"/>
      <c r="B193" s="15"/>
      <c r="C193" s="37"/>
      <c r="D193" s="37"/>
      <c r="E193" s="37"/>
      <c r="F193" s="37"/>
      <c r="G193" s="32"/>
      <c r="H193" s="32"/>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row>
    <row r="194" spans="1:46" ht="15">
      <c r="A194" s="37"/>
      <c r="B194" s="15"/>
      <c r="C194" s="37"/>
      <c r="D194" s="37"/>
      <c r="E194" s="37"/>
      <c r="F194" s="37"/>
      <c r="G194" s="32"/>
      <c r="H194" s="32"/>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row>
    <row r="195" spans="1:46" ht="15">
      <c r="A195" s="37"/>
      <c r="B195" s="15"/>
      <c r="C195" s="37"/>
      <c r="D195" s="37"/>
      <c r="E195" s="37"/>
      <c r="F195" s="37"/>
      <c r="G195" s="32"/>
      <c r="H195" s="32"/>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row>
    <row r="196" spans="1:46" ht="15">
      <c r="A196" s="37"/>
      <c r="B196" s="15"/>
      <c r="C196" s="37"/>
      <c r="D196" s="37"/>
      <c r="E196" s="37"/>
      <c r="F196" s="37"/>
      <c r="G196" s="32"/>
      <c r="H196" s="32"/>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row>
    <row r="197" spans="1:46" ht="15">
      <c r="A197" s="37"/>
      <c r="B197" s="15"/>
      <c r="C197" s="37"/>
      <c r="D197" s="37"/>
      <c r="E197" s="37"/>
      <c r="F197" s="37"/>
      <c r="G197" s="32"/>
      <c r="H197" s="32"/>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row>
    <row r="198" spans="1:46" ht="15">
      <c r="A198" s="37"/>
      <c r="B198" s="15"/>
      <c r="C198" s="37"/>
      <c r="D198" s="37"/>
      <c r="E198" s="37"/>
      <c r="F198" s="37"/>
      <c r="G198" s="32"/>
      <c r="H198" s="32"/>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row>
    <row r="199" spans="1:46" ht="15">
      <c r="A199" s="37"/>
      <c r="B199" s="15"/>
      <c r="C199" s="37"/>
      <c r="D199" s="37"/>
      <c r="E199" s="37"/>
      <c r="F199" s="37"/>
      <c r="G199" s="32"/>
      <c r="H199" s="32"/>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row>
    <row r="200" spans="1:46" ht="15">
      <c r="A200" s="37"/>
      <c r="B200" s="15"/>
      <c r="C200" s="37"/>
      <c r="D200" s="37"/>
      <c r="E200" s="37"/>
      <c r="F200" s="37"/>
      <c r="G200" s="32"/>
      <c r="H200" s="32"/>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row>
    <row r="201" spans="1:46" ht="15">
      <c r="A201" s="37"/>
      <c r="B201" s="15"/>
      <c r="C201" s="37"/>
      <c r="D201" s="37"/>
      <c r="E201" s="37"/>
      <c r="F201" s="37"/>
      <c r="G201" s="32"/>
      <c r="H201" s="32"/>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row>
    <row r="202" spans="1:46" ht="15">
      <c r="A202" s="37"/>
      <c r="B202" s="15"/>
      <c r="C202" s="37"/>
      <c r="D202" s="37"/>
      <c r="E202" s="37"/>
      <c r="F202" s="37"/>
      <c r="G202" s="32"/>
      <c r="H202" s="32"/>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row>
    <row r="203" spans="1:46" ht="15">
      <c r="A203" s="37"/>
      <c r="B203" s="15"/>
      <c r="C203" s="37"/>
      <c r="D203" s="37"/>
      <c r="E203" s="37"/>
      <c r="F203" s="37"/>
      <c r="G203" s="32"/>
      <c r="H203" s="32"/>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row>
    <row r="204" spans="1:46" ht="15">
      <c r="A204" s="37"/>
      <c r="B204" s="15"/>
      <c r="C204" s="37"/>
      <c r="D204" s="37"/>
      <c r="E204" s="37"/>
      <c r="F204" s="37"/>
      <c r="G204" s="32"/>
      <c r="H204" s="32"/>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row>
    <row r="205" spans="1:46" ht="15">
      <c r="A205" s="37"/>
      <c r="B205" s="15"/>
      <c r="C205" s="37"/>
      <c r="D205" s="37"/>
      <c r="E205" s="37"/>
      <c r="F205" s="37"/>
      <c r="G205" s="32"/>
      <c r="H205" s="32"/>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row>
    <row r="206" spans="1:46" ht="15">
      <c r="A206" s="37"/>
      <c r="B206" s="15"/>
      <c r="C206" s="37"/>
      <c r="D206" s="37"/>
      <c r="E206" s="37"/>
      <c r="F206" s="37"/>
      <c r="G206" s="32"/>
      <c r="H206" s="32"/>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row>
    <row r="207" spans="1:46" ht="15">
      <c r="A207" s="37"/>
      <c r="B207" s="15"/>
      <c r="C207" s="37"/>
      <c r="D207" s="37"/>
      <c r="E207" s="37"/>
      <c r="F207" s="37"/>
      <c r="G207" s="32"/>
      <c r="H207" s="32"/>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row>
    <row r="208" spans="1:46" ht="15">
      <c r="A208" s="37"/>
      <c r="B208" s="15"/>
      <c r="C208" s="37"/>
      <c r="D208" s="37"/>
      <c r="E208" s="37"/>
      <c r="F208" s="37"/>
      <c r="G208" s="32"/>
      <c r="H208" s="32"/>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row>
    <row r="209" spans="1:46" ht="15">
      <c r="A209" s="37"/>
      <c r="B209" s="15"/>
      <c r="C209" s="37"/>
      <c r="D209" s="37"/>
      <c r="E209" s="37"/>
      <c r="F209" s="37"/>
      <c r="G209" s="32"/>
      <c r="H209" s="32"/>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row>
    <row r="210" spans="1:46" ht="15">
      <c r="A210" s="37"/>
      <c r="B210" s="15"/>
      <c r="C210" s="37"/>
      <c r="D210" s="37"/>
      <c r="E210" s="37"/>
      <c r="F210" s="37"/>
      <c r="G210" s="32"/>
      <c r="H210" s="32"/>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row>
    <row r="211" spans="1:46" ht="15">
      <c r="A211" s="37"/>
      <c r="B211" s="15"/>
      <c r="C211" s="37"/>
      <c r="D211" s="37"/>
      <c r="E211" s="37"/>
      <c r="F211" s="37"/>
      <c r="G211" s="32"/>
      <c r="H211" s="32"/>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row>
    <row r="212" spans="1:46" ht="15">
      <c r="A212" s="37"/>
      <c r="B212" s="15"/>
      <c r="C212" s="37"/>
      <c r="D212" s="37"/>
      <c r="E212" s="37"/>
      <c r="F212" s="37"/>
      <c r="G212" s="32"/>
      <c r="H212" s="32"/>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row>
    <row r="213" spans="1:46" ht="15">
      <c r="A213" s="37"/>
      <c r="B213" s="15"/>
      <c r="C213" s="37"/>
      <c r="D213" s="37"/>
      <c r="E213" s="37"/>
      <c r="F213" s="37"/>
      <c r="G213" s="32"/>
      <c r="H213" s="32"/>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row>
    <row r="214" spans="1:46" ht="15">
      <c r="A214" s="37"/>
      <c r="B214" s="15"/>
      <c r="C214" s="37"/>
      <c r="D214" s="37"/>
      <c r="E214" s="37"/>
      <c r="F214" s="37"/>
      <c r="G214" s="32"/>
      <c r="H214" s="32"/>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row>
    <row r="215" spans="1:46" ht="15">
      <c r="A215" s="37"/>
      <c r="B215" s="15"/>
      <c r="C215" s="37"/>
      <c r="D215" s="37"/>
      <c r="E215" s="37"/>
      <c r="F215" s="37"/>
      <c r="G215" s="32"/>
      <c r="H215" s="32"/>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row>
    <row r="216" spans="1:46" ht="15">
      <c r="A216" s="37"/>
      <c r="B216" s="15"/>
      <c r="C216" s="37"/>
      <c r="D216" s="37"/>
      <c r="E216" s="37"/>
      <c r="F216" s="37"/>
      <c r="G216" s="32"/>
      <c r="H216" s="32"/>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row>
    <row r="217" spans="1:46" ht="15">
      <c r="A217" s="37"/>
      <c r="B217" s="15"/>
      <c r="C217" s="37"/>
      <c r="D217" s="37"/>
      <c r="E217" s="37"/>
      <c r="F217" s="37"/>
      <c r="G217" s="32"/>
      <c r="H217" s="32"/>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row>
    <row r="218" spans="1:46" ht="15">
      <c r="A218" s="37"/>
      <c r="B218" s="15"/>
      <c r="C218" s="37"/>
      <c r="D218" s="37"/>
      <c r="E218" s="37"/>
      <c r="F218" s="37"/>
      <c r="G218" s="32"/>
      <c r="H218" s="32"/>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row>
    <row r="219" spans="1:46" ht="15">
      <c r="A219" s="37"/>
      <c r="B219" s="15"/>
      <c r="C219" s="37"/>
      <c r="D219" s="37"/>
      <c r="E219" s="37"/>
      <c r="F219" s="37"/>
      <c r="G219" s="32"/>
      <c r="H219" s="32"/>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row>
    <row r="220" spans="1:46" ht="15">
      <c r="A220" s="37"/>
      <c r="B220" s="15"/>
      <c r="C220" s="37"/>
      <c r="D220" s="37"/>
      <c r="E220" s="37"/>
      <c r="F220" s="37"/>
      <c r="G220" s="32"/>
      <c r="H220" s="32"/>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row>
    <row r="221" spans="1:46" ht="15">
      <c r="A221" s="37"/>
      <c r="B221" s="15"/>
      <c r="C221" s="37"/>
      <c r="D221" s="37"/>
      <c r="E221" s="37"/>
      <c r="F221" s="37"/>
      <c r="G221" s="32"/>
      <c r="H221" s="32"/>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row>
    <row r="222" spans="1:46" ht="15">
      <c r="A222" s="37"/>
      <c r="B222" s="15"/>
      <c r="C222" s="37"/>
      <c r="D222" s="37"/>
      <c r="E222" s="37"/>
      <c r="F222" s="37"/>
      <c r="G222" s="32"/>
      <c r="H222" s="32"/>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row>
    <row r="223" spans="1:46" ht="15">
      <c r="A223" s="37"/>
      <c r="B223" s="15"/>
      <c r="C223" s="37"/>
      <c r="D223" s="37"/>
      <c r="E223" s="37"/>
      <c r="F223" s="37"/>
      <c r="G223" s="32"/>
      <c r="H223" s="32"/>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row>
    <row r="224" spans="1:46" ht="15">
      <c r="A224" s="37"/>
      <c r="B224" s="15"/>
      <c r="C224" s="37"/>
      <c r="D224" s="37"/>
      <c r="E224" s="37"/>
      <c r="F224" s="37"/>
      <c r="G224" s="32"/>
      <c r="H224" s="32"/>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row>
    <row r="225" spans="1:46" ht="15">
      <c r="A225" s="37"/>
      <c r="B225" s="15"/>
      <c r="C225" s="37"/>
      <c r="D225" s="37"/>
      <c r="E225" s="37"/>
      <c r="F225" s="37"/>
      <c r="G225" s="32"/>
      <c r="H225" s="32"/>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row>
    <row r="226" spans="1:46" ht="15">
      <c r="A226" s="37"/>
      <c r="B226" s="15"/>
      <c r="C226" s="37"/>
      <c r="D226" s="37"/>
      <c r="E226" s="37"/>
      <c r="F226" s="37"/>
      <c r="G226" s="32"/>
      <c r="H226" s="32"/>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row>
    <row r="227" spans="1:46" ht="15">
      <c r="A227" s="37"/>
      <c r="B227" s="15"/>
      <c r="C227" s="37"/>
      <c r="D227" s="37"/>
      <c r="E227" s="37"/>
      <c r="F227" s="37"/>
      <c r="G227" s="32"/>
      <c r="H227" s="32"/>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row>
    <row r="228" spans="1:46" ht="15">
      <c r="A228" s="37"/>
      <c r="B228" s="15"/>
      <c r="C228" s="37"/>
      <c r="D228" s="37"/>
      <c r="E228" s="37"/>
      <c r="F228" s="37"/>
      <c r="G228" s="32"/>
      <c r="H228" s="32"/>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row>
    <row r="229" spans="1:46" ht="15">
      <c r="A229" s="37"/>
      <c r="B229" s="15"/>
      <c r="C229" s="37"/>
      <c r="D229" s="37"/>
      <c r="E229" s="37"/>
      <c r="F229" s="37"/>
      <c r="G229" s="32"/>
      <c r="H229" s="32"/>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row>
    <row r="230" spans="1:46" ht="15">
      <c r="A230" s="37"/>
      <c r="B230" s="15"/>
      <c r="C230" s="37"/>
      <c r="D230" s="37"/>
      <c r="E230" s="37"/>
      <c r="F230" s="37"/>
      <c r="G230" s="32"/>
      <c r="H230" s="32"/>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row>
    <row r="231" spans="1:46" ht="15">
      <c r="A231" s="37"/>
      <c r="B231" s="15"/>
      <c r="C231" s="37"/>
      <c r="D231" s="37"/>
      <c r="E231" s="37"/>
      <c r="F231" s="37"/>
      <c r="G231" s="32"/>
      <c r="H231" s="32"/>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row>
    <row r="232" spans="1:46" ht="15">
      <c r="A232" s="37"/>
      <c r="B232" s="15"/>
      <c r="C232" s="37"/>
      <c r="D232" s="37"/>
      <c r="E232" s="37"/>
      <c r="F232" s="37"/>
      <c r="G232" s="32"/>
      <c r="H232" s="32"/>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row>
    <row r="233" spans="1:46" ht="15">
      <c r="A233" s="37"/>
      <c r="B233" s="15"/>
      <c r="C233" s="37"/>
      <c r="D233" s="37"/>
      <c r="E233" s="37"/>
      <c r="F233" s="37"/>
      <c r="G233" s="32"/>
      <c r="H233" s="32"/>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row>
    <row r="234" spans="1:46" ht="15">
      <c r="A234" s="37"/>
      <c r="B234" s="15"/>
      <c r="C234" s="37"/>
      <c r="D234" s="37"/>
      <c r="E234" s="37"/>
      <c r="F234" s="37"/>
      <c r="G234" s="32"/>
      <c r="H234" s="32"/>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row>
    <row r="235" spans="1:46" ht="15">
      <c r="A235" s="37"/>
      <c r="B235" s="15"/>
      <c r="C235" s="37"/>
      <c r="D235" s="37"/>
      <c r="E235" s="37"/>
      <c r="F235" s="37"/>
      <c r="G235" s="32"/>
      <c r="H235" s="32"/>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row>
    <row r="236" spans="1:46" ht="15">
      <c r="A236" s="37"/>
      <c r="B236" s="15"/>
      <c r="C236" s="37"/>
      <c r="D236" s="37"/>
      <c r="E236" s="37"/>
      <c r="F236" s="37"/>
      <c r="G236" s="32"/>
      <c r="H236" s="32"/>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row>
    <row r="237" spans="1:46" ht="15">
      <c r="A237" s="37"/>
      <c r="B237" s="15"/>
      <c r="C237" s="37"/>
      <c r="D237" s="37"/>
      <c r="E237" s="37"/>
      <c r="F237" s="37"/>
      <c r="G237" s="32"/>
      <c r="H237" s="32"/>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row>
    <row r="238" spans="1:46" ht="15">
      <c r="A238" s="37"/>
      <c r="B238" s="15"/>
      <c r="C238" s="37"/>
      <c r="D238" s="37"/>
      <c r="E238" s="37"/>
      <c r="F238" s="37"/>
      <c r="G238" s="32"/>
      <c r="H238" s="32"/>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row>
    <row r="239" spans="1:46" ht="15">
      <c r="A239" s="37"/>
      <c r="B239" s="15"/>
      <c r="C239" s="37"/>
      <c r="D239" s="37"/>
      <c r="E239" s="37"/>
      <c r="F239" s="37"/>
      <c r="G239" s="32"/>
      <c r="H239" s="32"/>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row>
    <row r="240" spans="1:46" ht="15">
      <c r="A240" s="37"/>
      <c r="B240" s="15"/>
      <c r="C240" s="37"/>
      <c r="D240" s="37"/>
      <c r="E240" s="37"/>
      <c r="F240" s="37"/>
      <c r="G240" s="32"/>
      <c r="H240" s="32"/>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row>
    <row r="241" spans="1:46" ht="15">
      <c r="A241" s="37"/>
      <c r="B241" s="15"/>
      <c r="C241" s="37"/>
      <c r="D241" s="37"/>
      <c r="E241" s="37"/>
      <c r="F241" s="37"/>
      <c r="G241" s="32"/>
      <c r="H241" s="32"/>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row>
    <row r="242" spans="1:46" ht="15">
      <c r="A242" s="37"/>
      <c r="B242" s="15"/>
      <c r="C242" s="37"/>
      <c r="D242" s="37"/>
      <c r="E242" s="37"/>
      <c r="F242" s="37"/>
      <c r="G242" s="32"/>
      <c r="H242" s="32"/>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row>
    <row r="243" spans="1:46" ht="15">
      <c r="A243" s="37"/>
      <c r="B243" s="15"/>
      <c r="C243" s="37"/>
      <c r="D243" s="37"/>
      <c r="E243" s="37"/>
      <c r="F243" s="37"/>
      <c r="G243" s="32"/>
      <c r="H243" s="32"/>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row>
    <row r="244" spans="1:46" ht="15">
      <c r="A244" s="37"/>
      <c r="B244" s="15"/>
      <c r="C244" s="37"/>
      <c r="D244" s="37"/>
      <c r="E244" s="37"/>
      <c r="F244" s="37"/>
      <c r="G244" s="32"/>
      <c r="H244" s="32"/>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row>
    <row r="245" spans="1:46" ht="15">
      <c r="A245" s="37"/>
      <c r="B245" s="15"/>
      <c r="C245" s="37"/>
      <c r="D245" s="37"/>
      <c r="E245" s="37"/>
      <c r="F245" s="37"/>
      <c r="G245" s="32"/>
      <c r="H245" s="32"/>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row>
    <row r="246" spans="1:46" ht="15">
      <c r="A246" s="37"/>
      <c r="B246" s="15"/>
      <c r="C246" s="37"/>
      <c r="D246" s="37"/>
      <c r="E246" s="37"/>
      <c r="F246" s="37"/>
      <c r="G246" s="32"/>
      <c r="H246" s="32"/>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row>
    <row r="247" spans="1:46" ht="15">
      <c r="A247" s="37"/>
      <c r="B247" s="15"/>
      <c r="C247" s="37"/>
      <c r="D247" s="37"/>
      <c r="E247" s="37"/>
      <c r="F247" s="37"/>
      <c r="G247" s="32"/>
      <c r="H247" s="32"/>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row>
    <row r="248" spans="1:46" ht="15">
      <c r="A248" s="37"/>
      <c r="B248" s="15"/>
      <c r="C248" s="37"/>
      <c r="D248" s="37"/>
      <c r="E248" s="37"/>
      <c r="F248" s="37"/>
      <c r="G248" s="32"/>
      <c r="H248" s="32"/>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row>
    <row r="249" spans="1:46" ht="15">
      <c r="A249" s="37"/>
      <c r="B249" s="15"/>
      <c r="C249" s="37"/>
      <c r="D249" s="37"/>
      <c r="E249" s="37"/>
      <c r="F249" s="37"/>
      <c r="G249" s="32"/>
      <c r="H249" s="32"/>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row>
    <row r="250" spans="1:46" ht="15">
      <c r="A250" s="37"/>
      <c r="B250" s="15"/>
      <c r="C250" s="37"/>
      <c r="D250" s="37"/>
      <c r="E250" s="37"/>
      <c r="F250" s="37"/>
      <c r="G250" s="32"/>
      <c r="H250" s="32"/>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row>
    <row r="251" spans="1:46" ht="15">
      <c r="A251" s="37"/>
      <c r="B251" s="15"/>
      <c r="C251" s="37"/>
      <c r="D251" s="37"/>
      <c r="E251" s="37"/>
      <c r="F251" s="37"/>
      <c r="G251" s="32"/>
      <c r="H251" s="32"/>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row>
    <row r="252" spans="1:46" ht="15">
      <c r="A252" s="37"/>
      <c r="B252" s="15"/>
      <c r="C252" s="37"/>
      <c r="D252" s="37"/>
      <c r="E252" s="37"/>
      <c r="F252" s="37"/>
      <c r="G252" s="32"/>
      <c r="H252" s="32"/>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row>
    <row r="253" spans="1:46" ht="15">
      <c r="A253" s="37"/>
      <c r="B253" s="15"/>
      <c r="C253" s="37"/>
      <c r="D253" s="37"/>
      <c r="E253" s="37"/>
      <c r="F253" s="37"/>
      <c r="G253" s="32"/>
      <c r="H253" s="32"/>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row>
    <row r="254" spans="1:46" ht="15">
      <c r="A254" s="37"/>
      <c r="B254" s="15"/>
      <c r="C254" s="37"/>
      <c r="D254" s="37"/>
      <c r="E254" s="37"/>
      <c r="F254" s="37"/>
      <c r="G254" s="32"/>
      <c r="H254" s="32"/>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row>
    <row r="255" spans="1:46" ht="15">
      <c r="A255" s="37"/>
      <c r="B255" s="15"/>
      <c r="C255" s="37"/>
      <c r="D255" s="37"/>
      <c r="E255" s="37"/>
      <c r="F255" s="37"/>
      <c r="G255" s="32"/>
      <c r="H255" s="32"/>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row>
    <row r="256" spans="1:46" ht="15">
      <c r="A256" s="37"/>
      <c r="B256" s="15"/>
      <c r="C256" s="37"/>
      <c r="D256" s="37"/>
      <c r="E256" s="37"/>
      <c r="F256" s="37"/>
      <c r="G256" s="32"/>
      <c r="H256" s="32"/>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row>
    <row r="257" spans="1:46" ht="15">
      <c r="A257" s="37"/>
      <c r="B257" s="15"/>
      <c r="C257" s="37"/>
      <c r="D257" s="37"/>
      <c r="E257" s="37"/>
      <c r="F257" s="37"/>
      <c r="G257" s="32"/>
      <c r="H257" s="32"/>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row>
    <row r="258" spans="1:46" ht="15">
      <c r="A258" s="37"/>
      <c r="B258" s="15"/>
      <c r="C258" s="37"/>
      <c r="D258" s="37"/>
      <c r="E258" s="37"/>
      <c r="F258" s="37"/>
      <c r="G258" s="32"/>
      <c r="H258" s="32"/>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row>
    <row r="259" spans="1:46" ht="15">
      <c r="A259" s="37"/>
      <c r="B259" s="15"/>
      <c r="C259" s="37"/>
      <c r="D259" s="37"/>
      <c r="E259" s="37"/>
      <c r="F259" s="37"/>
      <c r="G259" s="32"/>
      <c r="H259" s="32"/>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row>
    <row r="260" spans="1:46" ht="15">
      <c r="A260" s="37"/>
      <c r="B260" s="15"/>
      <c r="C260" s="37"/>
      <c r="D260" s="37"/>
      <c r="E260" s="37"/>
      <c r="F260" s="37"/>
      <c r="G260" s="32"/>
      <c r="H260" s="32"/>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row>
    <row r="261" spans="1:46" ht="15">
      <c r="A261" s="37"/>
      <c r="B261" s="15"/>
      <c r="C261" s="37"/>
      <c r="D261" s="37"/>
      <c r="E261" s="37"/>
      <c r="F261" s="37"/>
      <c r="G261" s="32"/>
      <c r="H261" s="32"/>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row>
    <row r="262" spans="1:46" ht="15">
      <c r="A262" s="37"/>
      <c r="B262" s="15"/>
      <c r="C262" s="37"/>
      <c r="D262" s="37"/>
      <c r="E262" s="37"/>
      <c r="F262" s="37"/>
      <c r="G262" s="32"/>
      <c r="H262" s="32"/>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row>
    <row r="263" spans="1:46" ht="15">
      <c r="A263" s="37"/>
      <c r="B263" s="15"/>
      <c r="C263" s="37"/>
      <c r="D263" s="37"/>
      <c r="E263" s="37"/>
      <c r="F263" s="37"/>
      <c r="G263" s="32"/>
      <c r="H263" s="32"/>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row>
    <row r="264" spans="1:46" ht="15">
      <c r="A264" s="37"/>
      <c r="B264" s="15"/>
      <c r="C264" s="37"/>
      <c r="D264" s="37"/>
      <c r="E264" s="37"/>
      <c r="F264" s="37"/>
      <c r="G264" s="32"/>
      <c r="H264" s="32"/>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row>
    <row r="265" spans="1:46" ht="15">
      <c r="A265" s="37"/>
      <c r="B265" s="15"/>
      <c r="C265" s="37"/>
      <c r="D265" s="37"/>
      <c r="E265" s="37"/>
      <c r="F265" s="37"/>
      <c r="G265" s="32"/>
      <c r="H265" s="32"/>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row>
    <row r="266" spans="1:46" ht="15">
      <c r="A266" s="37"/>
      <c r="B266" s="15"/>
      <c r="C266" s="37"/>
      <c r="D266" s="37"/>
      <c r="E266" s="37"/>
      <c r="F266" s="37"/>
      <c r="G266" s="32"/>
      <c r="H266" s="32"/>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row>
    <row r="267" spans="1:46" ht="15">
      <c r="A267" s="37"/>
      <c r="B267" s="15"/>
      <c r="C267" s="37"/>
      <c r="D267" s="37"/>
      <c r="E267" s="37"/>
      <c r="F267" s="37"/>
      <c r="G267" s="32"/>
      <c r="H267" s="32"/>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row>
    <row r="268" spans="1:46" ht="15">
      <c r="A268" s="37"/>
      <c r="B268" s="15"/>
      <c r="C268" s="37"/>
      <c r="D268" s="37"/>
      <c r="E268" s="37"/>
      <c r="F268" s="37"/>
      <c r="G268" s="32"/>
      <c r="H268" s="32"/>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row>
    <row r="269" spans="1:46" ht="15">
      <c r="A269" s="37"/>
      <c r="B269" s="15"/>
      <c r="C269" s="37"/>
      <c r="D269" s="37"/>
      <c r="E269" s="37"/>
      <c r="F269" s="37"/>
      <c r="G269" s="32"/>
      <c r="H269" s="32"/>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row>
    <row r="270" spans="1:46" ht="15">
      <c r="A270" s="37"/>
      <c r="B270" s="15"/>
      <c r="C270" s="37"/>
      <c r="D270" s="37"/>
      <c r="E270" s="37"/>
      <c r="F270" s="37"/>
      <c r="G270" s="32"/>
      <c r="H270" s="32"/>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row>
    <row r="271" spans="1:46" ht="15">
      <c r="A271" s="37"/>
      <c r="B271" s="15"/>
      <c r="C271" s="37"/>
      <c r="D271" s="37"/>
      <c r="E271" s="37"/>
      <c r="F271" s="37"/>
      <c r="G271" s="32"/>
      <c r="H271" s="32"/>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row>
    <row r="272" spans="1:46" ht="15">
      <c r="A272" s="37"/>
      <c r="B272" s="15"/>
      <c r="C272" s="37"/>
      <c r="D272" s="37"/>
      <c r="E272" s="37"/>
      <c r="F272" s="37"/>
      <c r="G272" s="32"/>
      <c r="H272" s="32"/>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row>
    <row r="273" spans="1:46" ht="15">
      <c r="A273" s="37"/>
      <c r="B273" s="15"/>
      <c r="C273" s="37"/>
      <c r="D273" s="37"/>
      <c r="E273" s="37"/>
      <c r="F273" s="37"/>
      <c r="G273" s="32"/>
      <c r="H273" s="32"/>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row>
    <row r="274" spans="1:46" ht="15">
      <c r="A274" s="37"/>
      <c r="B274" s="15"/>
      <c r="C274" s="37"/>
      <c r="D274" s="37"/>
      <c r="E274" s="37"/>
      <c r="F274" s="37"/>
      <c r="G274" s="32"/>
      <c r="H274" s="32"/>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row>
    <row r="275" spans="1:46" ht="15">
      <c r="A275" s="37"/>
      <c r="B275" s="15"/>
      <c r="C275" s="37"/>
      <c r="D275" s="37"/>
      <c r="E275" s="37"/>
      <c r="F275" s="37"/>
      <c r="G275" s="32"/>
      <c r="H275" s="32"/>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row>
    <row r="276" spans="1:46" ht="15">
      <c r="A276" s="37"/>
      <c r="B276" s="15"/>
      <c r="C276" s="37"/>
      <c r="D276" s="37"/>
      <c r="E276" s="37"/>
      <c r="F276" s="37"/>
      <c r="G276" s="32"/>
      <c r="H276" s="32"/>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row>
    <row r="277" spans="1:46" ht="15">
      <c r="A277" s="37"/>
      <c r="B277" s="15"/>
      <c r="C277" s="37"/>
      <c r="D277" s="37"/>
      <c r="E277" s="37"/>
      <c r="F277" s="37"/>
      <c r="G277" s="32"/>
      <c r="H277" s="32"/>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row>
    <row r="278" spans="1:46" ht="15">
      <c r="A278" s="37"/>
      <c r="B278" s="15"/>
      <c r="C278" s="37"/>
      <c r="D278" s="37"/>
      <c r="E278" s="37"/>
      <c r="F278" s="37"/>
      <c r="G278" s="32"/>
      <c r="H278" s="32"/>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row>
    <row r="279" spans="1:46" ht="15">
      <c r="A279" s="37"/>
      <c r="B279" s="15"/>
      <c r="C279" s="37"/>
      <c r="D279" s="37"/>
      <c r="E279" s="37"/>
      <c r="F279" s="37"/>
      <c r="G279" s="32"/>
      <c r="H279" s="32"/>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row>
    <row r="280" spans="1:46" ht="15">
      <c r="A280" s="37"/>
      <c r="B280" s="15"/>
      <c r="C280" s="37"/>
      <c r="D280" s="37"/>
      <c r="E280" s="37"/>
      <c r="F280" s="37"/>
      <c r="G280" s="32"/>
      <c r="H280" s="32"/>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row>
    <row r="281" spans="1:46" ht="15">
      <c r="A281" s="37"/>
      <c r="B281" s="15"/>
      <c r="C281" s="37"/>
      <c r="D281" s="37"/>
      <c r="E281" s="37"/>
      <c r="F281" s="37"/>
      <c r="G281" s="32"/>
      <c r="H281" s="32"/>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row>
    <row r="282" spans="1:46" ht="15">
      <c r="A282" s="37"/>
      <c r="B282" s="15"/>
      <c r="C282" s="37"/>
      <c r="D282" s="37"/>
      <c r="E282" s="37"/>
      <c r="F282" s="37"/>
      <c r="G282" s="32"/>
      <c r="H282" s="32"/>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row>
    <row r="283" spans="1:46" ht="15">
      <c r="A283" s="37"/>
      <c r="B283" s="15"/>
      <c r="C283" s="37"/>
      <c r="D283" s="37"/>
      <c r="E283" s="37"/>
      <c r="F283" s="37"/>
      <c r="G283" s="32"/>
      <c r="H283" s="32"/>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row>
    <row r="284" spans="1:46" ht="15">
      <c r="A284" s="37"/>
      <c r="B284" s="15"/>
      <c r="C284" s="37"/>
      <c r="D284" s="37"/>
      <c r="E284" s="37"/>
      <c r="F284" s="37"/>
      <c r="G284" s="32"/>
      <c r="H284" s="32"/>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row>
    <row r="285" spans="1:46" ht="15">
      <c r="A285" s="37"/>
      <c r="B285" s="15"/>
      <c r="C285" s="37"/>
      <c r="D285" s="37"/>
      <c r="E285" s="37"/>
      <c r="F285" s="37"/>
      <c r="G285" s="32"/>
      <c r="H285" s="32"/>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row>
    <row r="286" spans="1:46" ht="15">
      <c r="A286" s="37"/>
      <c r="B286" s="15"/>
      <c r="C286" s="37"/>
      <c r="D286" s="37"/>
      <c r="E286" s="37"/>
      <c r="F286" s="37"/>
      <c r="G286" s="32"/>
      <c r="H286" s="32"/>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row>
    <row r="287" spans="1:46" ht="15">
      <c r="A287" s="37"/>
      <c r="B287" s="15"/>
      <c r="C287" s="37"/>
      <c r="D287" s="37"/>
      <c r="E287" s="37"/>
      <c r="F287" s="37"/>
      <c r="G287" s="32"/>
      <c r="H287" s="32"/>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row>
    <row r="288" spans="1:46" ht="15">
      <c r="A288" s="37"/>
      <c r="B288" s="15"/>
      <c r="C288" s="37"/>
      <c r="D288" s="37"/>
      <c r="E288" s="37"/>
      <c r="F288" s="37"/>
      <c r="G288" s="32"/>
      <c r="H288" s="32"/>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row>
    <row r="289" spans="1:46" ht="15">
      <c r="A289" s="37"/>
      <c r="B289" s="15"/>
      <c r="C289" s="37"/>
      <c r="D289" s="37"/>
      <c r="E289" s="37"/>
      <c r="F289" s="37"/>
      <c r="G289" s="32"/>
      <c r="H289" s="32"/>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row>
    <row r="290" spans="1:46" ht="15">
      <c r="A290" s="37"/>
      <c r="B290" s="15"/>
      <c r="C290" s="37"/>
      <c r="D290" s="37"/>
      <c r="E290" s="37"/>
      <c r="F290" s="37"/>
      <c r="G290" s="32"/>
      <c r="H290" s="32"/>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row>
    <row r="291" spans="1:46" ht="15">
      <c r="A291" s="37"/>
      <c r="B291" s="15"/>
      <c r="C291" s="37"/>
      <c r="D291" s="37"/>
      <c r="E291" s="37"/>
      <c r="F291" s="37"/>
      <c r="G291" s="32"/>
      <c r="H291" s="32"/>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row>
    <row r="292" spans="1:46" ht="15">
      <c r="A292" s="37"/>
      <c r="B292" s="15"/>
      <c r="C292" s="37"/>
      <c r="D292" s="37"/>
      <c r="E292" s="37"/>
      <c r="F292" s="37"/>
      <c r="G292" s="32"/>
      <c r="H292" s="32"/>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row>
    <row r="293" spans="1:46" ht="15">
      <c r="A293" s="37"/>
      <c r="B293" s="15"/>
      <c r="C293" s="37"/>
      <c r="D293" s="37"/>
      <c r="E293" s="37"/>
      <c r="F293" s="37"/>
      <c r="G293" s="32"/>
      <c r="H293" s="32"/>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row>
    <row r="294" spans="1:46" ht="15">
      <c r="A294" s="37"/>
      <c r="B294" s="15"/>
      <c r="C294" s="37"/>
      <c r="D294" s="37"/>
      <c r="E294" s="37"/>
      <c r="F294" s="37"/>
      <c r="G294" s="32"/>
      <c r="H294" s="32"/>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row>
    <row r="295" spans="1:46" ht="15">
      <c r="A295" s="37"/>
      <c r="B295" s="15"/>
      <c r="C295" s="37"/>
      <c r="D295" s="37"/>
      <c r="E295" s="37"/>
      <c r="F295" s="37"/>
      <c r="G295" s="32"/>
      <c r="H295" s="32"/>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row>
    <row r="296" spans="1:46" ht="15">
      <c r="A296" s="37"/>
      <c r="B296" s="15"/>
      <c r="C296" s="37"/>
      <c r="D296" s="37"/>
      <c r="E296" s="37"/>
      <c r="F296" s="37"/>
      <c r="G296" s="32"/>
      <c r="H296" s="32"/>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row>
    <row r="297" spans="1:46" ht="15">
      <c r="A297" s="37"/>
      <c r="B297" s="15"/>
      <c r="C297" s="37"/>
      <c r="D297" s="37"/>
      <c r="E297" s="37"/>
      <c r="F297" s="37"/>
      <c r="G297" s="32"/>
      <c r="H297" s="32"/>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row>
    <row r="298" spans="1:46" ht="15">
      <c r="A298" s="37"/>
      <c r="B298" s="15"/>
      <c r="C298" s="37"/>
      <c r="D298" s="37"/>
      <c r="E298" s="37"/>
      <c r="F298" s="37"/>
      <c r="G298" s="32"/>
      <c r="H298" s="32"/>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row>
    <row r="299" spans="1:46" ht="15">
      <c r="A299" s="37"/>
      <c r="B299" s="15"/>
      <c r="C299" s="37"/>
      <c r="D299" s="37"/>
      <c r="E299" s="37"/>
      <c r="F299" s="37"/>
      <c r="G299" s="32"/>
      <c r="H299" s="32"/>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row>
    <row r="300" spans="1:46" ht="15">
      <c r="A300" s="37"/>
      <c r="B300" s="15"/>
      <c r="C300" s="37"/>
      <c r="D300" s="37"/>
      <c r="E300" s="37"/>
      <c r="F300" s="37"/>
      <c r="G300" s="32"/>
      <c r="H300" s="32"/>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row>
    <row r="301" spans="1:46" ht="15">
      <c r="A301" s="37"/>
      <c r="B301" s="15"/>
      <c r="C301" s="37"/>
      <c r="D301" s="37"/>
      <c r="E301" s="37"/>
      <c r="F301" s="37"/>
      <c r="G301" s="32"/>
      <c r="H301" s="32"/>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row>
    <row r="302" spans="1:46" ht="15">
      <c r="A302" s="37"/>
      <c r="B302" s="15"/>
      <c r="C302" s="37"/>
      <c r="D302" s="37"/>
      <c r="E302" s="37"/>
      <c r="F302" s="37"/>
      <c r="G302" s="32"/>
      <c r="H302" s="32"/>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row>
    <row r="303" spans="1:46" ht="15">
      <c r="A303" s="37"/>
      <c r="B303" s="15"/>
      <c r="C303" s="37"/>
      <c r="D303" s="37"/>
      <c r="E303" s="37"/>
      <c r="F303" s="37"/>
      <c r="G303" s="32"/>
      <c r="H303" s="32"/>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row>
    <row r="304" spans="1:46" ht="15">
      <c r="A304" s="37"/>
      <c r="B304" s="15"/>
      <c r="C304" s="37"/>
      <c r="D304" s="37"/>
      <c r="E304" s="37"/>
      <c r="F304" s="37"/>
      <c r="G304" s="32"/>
      <c r="H304" s="32"/>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row>
    <row r="305" spans="1:46" ht="15">
      <c r="A305" s="37"/>
      <c r="B305" s="15"/>
      <c r="C305" s="37"/>
      <c r="D305" s="37"/>
      <c r="E305" s="37"/>
      <c r="F305" s="37"/>
      <c r="G305" s="32"/>
      <c r="H305" s="32"/>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row>
    <row r="306" spans="1:46" ht="15">
      <c r="A306" s="37"/>
      <c r="B306" s="15"/>
      <c r="C306" s="37"/>
      <c r="D306" s="37"/>
      <c r="E306" s="37"/>
      <c r="F306" s="37"/>
      <c r="G306" s="32"/>
      <c r="H306" s="32"/>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row>
    <row r="307" spans="1:46" ht="15">
      <c r="A307" s="37"/>
      <c r="B307" s="15"/>
      <c r="C307" s="37"/>
      <c r="D307" s="37"/>
      <c r="E307" s="37"/>
      <c r="F307" s="37"/>
      <c r="G307" s="32"/>
      <c r="H307" s="32"/>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row>
    <row r="308" spans="1:46" ht="15">
      <c r="A308" s="37"/>
      <c r="B308" s="15"/>
      <c r="C308" s="37"/>
      <c r="D308" s="37"/>
      <c r="E308" s="37"/>
      <c r="F308" s="37"/>
      <c r="G308" s="32"/>
      <c r="H308" s="32"/>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row>
    <row r="309" spans="1:46" ht="15">
      <c r="A309" s="37"/>
      <c r="B309" s="15"/>
      <c r="C309" s="37"/>
      <c r="D309" s="37"/>
      <c r="E309" s="37"/>
      <c r="F309" s="37"/>
      <c r="G309" s="32"/>
      <c r="H309" s="32"/>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row>
    <row r="310" spans="1:46" ht="15">
      <c r="A310" s="37"/>
      <c r="B310" s="15"/>
      <c r="C310" s="37"/>
      <c r="D310" s="37"/>
      <c r="E310" s="37"/>
      <c r="F310" s="37"/>
      <c r="G310" s="32"/>
      <c r="H310" s="32"/>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row>
    <row r="311" spans="1:46" ht="15">
      <c r="A311" s="37"/>
      <c r="B311" s="15"/>
      <c r="C311" s="37"/>
      <c r="D311" s="37"/>
      <c r="E311" s="37"/>
      <c r="F311" s="37"/>
      <c r="G311" s="32"/>
      <c r="H311" s="32"/>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row>
    <row r="312" spans="1:46" ht="15">
      <c r="A312" s="37"/>
      <c r="B312" s="15"/>
      <c r="C312" s="37"/>
      <c r="D312" s="37"/>
      <c r="E312" s="37"/>
      <c r="F312" s="37"/>
      <c r="G312" s="32"/>
      <c r="H312" s="32"/>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row>
    <row r="313" spans="1:46" ht="15">
      <c r="A313" s="37"/>
      <c r="B313" s="15"/>
      <c r="C313" s="37"/>
      <c r="D313" s="37"/>
      <c r="E313" s="37"/>
      <c r="F313" s="37"/>
      <c r="G313" s="32"/>
      <c r="H313" s="32"/>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row>
    <row r="314" spans="1:46" ht="15">
      <c r="A314" s="37"/>
      <c r="B314" s="15"/>
      <c r="C314" s="37"/>
      <c r="D314" s="37"/>
      <c r="E314" s="37"/>
      <c r="F314" s="37"/>
      <c r="G314" s="32"/>
      <c r="H314" s="32"/>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row>
    <row r="315" spans="1:46" ht="15">
      <c r="A315" s="37"/>
      <c r="B315" s="15"/>
      <c r="C315" s="37"/>
      <c r="D315" s="37"/>
      <c r="E315" s="37"/>
      <c r="F315" s="37"/>
      <c r="G315" s="32"/>
      <c r="H315" s="32"/>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row>
    <row r="316" spans="1:46" ht="15">
      <c r="A316" s="37"/>
      <c r="B316" s="15"/>
      <c r="C316" s="37"/>
      <c r="D316" s="37"/>
      <c r="E316" s="37"/>
      <c r="F316" s="37"/>
      <c r="G316" s="32"/>
      <c r="H316" s="32"/>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row>
    <row r="317" spans="1:46" ht="15">
      <c r="A317" s="37"/>
      <c r="B317" s="15"/>
      <c r="C317" s="37"/>
      <c r="D317" s="37"/>
      <c r="E317" s="37"/>
      <c r="F317" s="37"/>
      <c r="G317" s="32"/>
      <c r="H317" s="32"/>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row>
    <row r="318" spans="1:46" ht="15">
      <c r="A318" s="37"/>
      <c r="B318" s="15"/>
      <c r="C318" s="37"/>
      <c r="D318" s="37"/>
      <c r="E318" s="37"/>
      <c r="F318" s="37"/>
      <c r="G318" s="32"/>
      <c r="H318" s="32"/>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row>
    <row r="319" spans="1:46" ht="15">
      <c r="A319" s="37"/>
      <c r="B319" s="15"/>
      <c r="C319" s="37"/>
      <c r="D319" s="37"/>
      <c r="E319" s="37"/>
      <c r="F319" s="37"/>
      <c r="G319" s="32"/>
      <c r="H319" s="32"/>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row>
    <row r="320" spans="1:46" ht="15">
      <c r="A320" s="37"/>
      <c r="B320" s="15"/>
      <c r="C320" s="37"/>
      <c r="D320" s="37"/>
      <c r="E320" s="37"/>
      <c r="F320" s="37"/>
      <c r="G320" s="32"/>
      <c r="H320" s="32"/>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row>
    <row r="321" spans="1:46" ht="15">
      <c r="A321" s="37"/>
      <c r="B321" s="15"/>
      <c r="C321" s="37"/>
      <c r="D321" s="37"/>
      <c r="E321" s="37"/>
      <c r="F321" s="37"/>
      <c r="G321" s="32"/>
      <c r="H321" s="32"/>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row>
    <row r="322" spans="1:46" ht="15">
      <c r="A322" s="37"/>
      <c r="B322" s="15"/>
      <c r="C322" s="37"/>
      <c r="D322" s="37"/>
      <c r="E322" s="37"/>
      <c r="F322" s="37"/>
      <c r="G322" s="32"/>
      <c r="H322" s="32"/>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row>
    <row r="323" spans="1:46" ht="15">
      <c r="A323" s="37"/>
      <c r="B323" s="15"/>
      <c r="C323" s="37"/>
      <c r="D323" s="37"/>
      <c r="E323" s="37"/>
      <c r="F323" s="37"/>
      <c r="G323" s="32"/>
      <c r="H323" s="32"/>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row>
    <row r="324" spans="1:46" ht="15">
      <c r="A324" s="37"/>
      <c r="B324" s="15"/>
      <c r="C324" s="37"/>
      <c r="D324" s="37"/>
      <c r="E324" s="37"/>
      <c r="F324" s="37"/>
      <c r="G324" s="32"/>
      <c r="H324" s="32"/>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row>
    <row r="325" spans="1:46" ht="15">
      <c r="A325" s="37"/>
      <c r="B325" s="15"/>
      <c r="C325" s="37"/>
      <c r="D325" s="37"/>
      <c r="E325" s="37"/>
      <c r="F325" s="37"/>
      <c r="G325" s="32"/>
      <c r="H325" s="32"/>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row>
    <row r="326" spans="1:46" ht="15">
      <c r="A326" s="37"/>
      <c r="B326" s="15"/>
      <c r="C326" s="37"/>
      <c r="D326" s="37"/>
      <c r="E326" s="37"/>
      <c r="F326" s="37"/>
      <c r="G326" s="32"/>
      <c r="H326" s="32"/>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row>
    <row r="327" spans="1:46" ht="15">
      <c r="A327" s="37"/>
      <c r="B327" s="15"/>
      <c r="C327" s="37"/>
      <c r="D327" s="37"/>
      <c r="E327" s="37"/>
      <c r="F327" s="37"/>
      <c r="G327" s="32"/>
      <c r="H327" s="32"/>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row>
    <row r="328" spans="1:46" ht="15">
      <c r="A328" s="37"/>
      <c r="B328" s="15"/>
      <c r="C328" s="37"/>
      <c r="D328" s="37"/>
      <c r="E328" s="37"/>
      <c r="F328" s="37"/>
      <c r="G328" s="32"/>
      <c r="H328" s="32"/>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row>
    <row r="329" spans="1:46" ht="15">
      <c r="A329" s="37"/>
      <c r="B329" s="15"/>
      <c r="C329" s="37"/>
      <c r="D329" s="37"/>
      <c r="E329" s="37"/>
      <c r="F329" s="37"/>
      <c r="G329" s="32"/>
      <c r="H329" s="32"/>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row>
    <row r="330" spans="1:46" ht="15">
      <c r="A330" s="37"/>
      <c r="B330" s="15"/>
      <c r="C330" s="37"/>
      <c r="D330" s="37"/>
      <c r="E330" s="37"/>
      <c r="F330" s="37"/>
      <c r="G330" s="32"/>
      <c r="H330" s="32"/>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row>
    <row r="331" spans="1:46" ht="15">
      <c r="A331" s="37"/>
      <c r="B331" s="15"/>
      <c r="C331" s="37"/>
      <c r="D331" s="37"/>
      <c r="E331" s="37"/>
      <c r="F331" s="37"/>
      <c r="G331" s="32"/>
      <c r="H331" s="32"/>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row>
    <row r="332" spans="1:46" ht="15">
      <c r="A332" s="37"/>
      <c r="B332" s="15"/>
      <c r="C332" s="37"/>
      <c r="D332" s="37"/>
      <c r="E332" s="37"/>
      <c r="F332" s="37"/>
      <c r="G332" s="32"/>
      <c r="H332" s="32"/>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row>
    <row r="333" spans="1:46" ht="15">
      <c r="A333" s="37"/>
      <c r="B333" s="15"/>
      <c r="C333" s="37"/>
      <c r="D333" s="37"/>
      <c r="E333" s="37"/>
      <c r="F333" s="37"/>
      <c r="G333" s="32"/>
      <c r="H333" s="32"/>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row>
    <row r="334" spans="1:46" ht="15">
      <c r="A334" s="37"/>
      <c r="B334" s="15"/>
      <c r="C334" s="37"/>
      <c r="D334" s="37"/>
      <c r="E334" s="37"/>
      <c r="F334" s="37"/>
      <c r="G334" s="32"/>
      <c r="H334" s="32"/>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row>
    <row r="335" spans="1:46" ht="15">
      <c r="A335" s="37"/>
      <c r="B335" s="15"/>
      <c r="C335" s="37"/>
      <c r="D335" s="37"/>
      <c r="E335" s="37"/>
      <c r="F335" s="37"/>
      <c r="G335" s="32"/>
      <c r="H335" s="32"/>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row>
    <row r="336" spans="1:46" ht="15">
      <c r="A336" s="37"/>
      <c r="B336" s="15"/>
      <c r="C336" s="37"/>
      <c r="D336" s="37"/>
      <c r="E336" s="37"/>
      <c r="F336" s="37"/>
      <c r="G336" s="32"/>
      <c r="H336" s="32"/>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row>
    <row r="337" spans="1:46" ht="15">
      <c r="A337" s="37"/>
      <c r="B337" s="15"/>
      <c r="C337" s="37"/>
      <c r="D337" s="37"/>
      <c r="E337" s="37"/>
      <c r="F337" s="37"/>
      <c r="G337" s="32"/>
      <c r="H337" s="32"/>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row>
    <row r="338" spans="1:46" ht="15">
      <c r="A338" s="37"/>
      <c r="B338" s="15"/>
      <c r="C338" s="37"/>
      <c r="D338" s="37"/>
      <c r="E338" s="37"/>
      <c r="F338" s="37"/>
      <c r="G338" s="32"/>
      <c r="H338" s="32"/>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row>
    <row r="339" spans="1:46" ht="15">
      <c r="A339" s="37"/>
      <c r="B339" s="15"/>
      <c r="C339" s="37"/>
      <c r="D339" s="37"/>
      <c r="E339" s="37"/>
      <c r="F339" s="37"/>
      <c r="G339" s="32"/>
      <c r="H339" s="32"/>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row>
    <row r="340" spans="1:46" ht="15">
      <c r="A340" s="37"/>
      <c r="B340" s="15"/>
      <c r="C340" s="37"/>
      <c r="D340" s="37"/>
      <c r="E340" s="37"/>
      <c r="F340" s="37"/>
      <c r="G340" s="32"/>
      <c r="H340" s="32"/>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row>
    <row r="341" spans="1:46" ht="15">
      <c r="A341" s="37"/>
      <c r="B341" s="15"/>
      <c r="C341" s="37"/>
      <c r="D341" s="37"/>
      <c r="E341" s="37"/>
      <c r="F341" s="37"/>
      <c r="G341" s="32"/>
      <c r="H341" s="32"/>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row>
    <row r="342" spans="1:46" ht="15">
      <c r="A342" s="37"/>
      <c r="B342" s="15"/>
      <c r="C342" s="37"/>
      <c r="D342" s="37"/>
      <c r="E342" s="37"/>
      <c r="F342" s="37"/>
      <c r="G342" s="32"/>
      <c r="H342" s="32"/>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row>
    <row r="343" spans="1:46" ht="15">
      <c r="A343" s="37"/>
      <c r="B343" s="15"/>
      <c r="C343" s="37"/>
      <c r="D343" s="37"/>
      <c r="E343" s="37"/>
      <c r="F343" s="37"/>
      <c r="G343" s="32"/>
      <c r="H343" s="32"/>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row>
    <row r="344" spans="1:46" ht="15">
      <c r="A344" s="37"/>
      <c r="B344" s="15"/>
      <c r="C344" s="37"/>
      <c r="D344" s="37"/>
      <c r="E344" s="37"/>
      <c r="F344" s="37"/>
      <c r="G344" s="32"/>
      <c r="H344" s="32"/>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row>
    <row r="345" spans="1:46" ht="15">
      <c r="A345" s="37"/>
      <c r="B345" s="15"/>
      <c r="C345" s="37"/>
      <c r="D345" s="37"/>
      <c r="E345" s="37"/>
      <c r="F345" s="37"/>
      <c r="G345" s="32"/>
      <c r="H345" s="32"/>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row>
    <row r="346" spans="1:46" ht="15">
      <c r="A346" s="37"/>
      <c r="B346" s="15"/>
      <c r="C346" s="37"/>
      <c r="D346" s="37"/>
      <c r="E346" s="37"/>
      <c r="F346" s="37"/>
      <c r="G346" s="32"/>
      <c r="H346" s="32"/>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row>
    <row r="347" spans="1:46" ht="15">
      <c r="A347" s="37"/>
      <c r="B347" s="15"/>
      <c r="C347" s="37"/>
      <c r="D347" s="37"/>
      <c r="E347" s="37"/>
      <c r="F347" s="37"/>
      <c r="G347" s="32"/>
      <c r="H347" s="32"/>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row>
    <row r="348" spans="1:46" ht="15">
      <c r="A348" s="37"/>
      <c r="B348" s="15"/>
      <c r="C348" s="37"/>
      <c r="D348" s="37"/>
      <c r="E348" s="37"/>
      <c r="F348" s="37"/>
      <c r="G348" s="32"/>
      <c r="H348" s="32"/>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row>
    <row r="349" spans="1:46" ht="15">
      <c r="A349" s="37"/>
      <c r="B349" s="15"/>
      <c r="C349" s="37"/>
      <c r="D349" s="37"/>
      <c r="E349" s="37"/>
      <c r="F349" s="37"/>
      <c r="G349" s="32"/>
      <c r="H349" s="32"/>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row>
    <row r="350" spans="1:46" ht="15">
      <c r="A350" s="37"/>
      <c r="B350" s="15"/>
      <c r="C350" s="37"/>
      <c r="D350" s="37"/>
      <c r="E350" s="37"/>
      <c r="F350" s="37"/>
      <c r="G350" s="32"/>
      <c r="H350" s="32"/>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row>
    <row r="351" spans="1:46" ht="15">
      <c r="A351" s="37"/>
      <c r="B351" s="15"/>
      <c r="C351" s="37"/>
      <c r="D351" s="37"/>
      <c r="E351" s="37"/>
      <c r="F351" s="37"/>
      <c r="G351" s="32"/>
      <c r="H351" s="32"/>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row>
    <row r="352" spans="1:46" ht="15">
      <c r="A352" s="37"/>
      <c r="B352" s="15"/>
      <c r="C352" s="37"/>
      <c r="D352" s="37"/>
      <c r="E352" s="37"/>
      <c r="F352" s="37"/>
      <c r="G352" s="32"/>
      <c r="H352" s="32"/>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row>
    <row r="353" spans="1:46" ht="15">
      <c r="A353" s="37"/>
      <c r="B353" s="15"/>
      <c r="C353" s="37"/>
      <c r="D353" s="37"/>
      <c r="E353" s="37"/>
      <c r="F353" s="37"/>
      <c r="G353" s="32"/>
      <c r="H353" s="32"/>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row>
    <row r="354" spans="1:46" ht="15">
      <c r="A354" s="37"/>
      <c r="B354" s="15"/>
      <c r="C354" s="37"/>
      <c r="D354" s="37"/>
      <c r="E354" s="37"/>
      <c r="F354" s="37"/>
      <c r="G354" s="32"/>
      <c r="H354" s="32"/>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row>
    <row r="355" spans="1:46" ht="15">
      <c r="A355" s="37"/>
      <c r="B355" s="15"/>
      <c r="C355" s="37"/>
      <c r="D355" s="37"/>
      <c r="E355" s="37"/>
      <c r="F355" s="37"/>
      <c r="G355" s="32"/>
      <c r="H355" s="32"/>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row>
    <row r="356" spans="1:46" ht="15">
      <c r="A356" s="37"/>
      <c r="B356" s="15"/>
      <c r="C356" s="37"/>
      <c r="D356" s="37"/>
      <c r="E356" s="37"/>
      <c r="F356" s="37"/>
      <c r="G356" s="32"/>
      <c r="H356" s="32"/>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row>
    <row r="357" spans="1:46" ht="15">
      <c r="A357" s="37"/>
      <c r="B357" s="15"/>
      <c r="C357" s="37"/>
      <c r="D357" s="37"/>
      <c r="E357" s="37"/>
      <c r="F357" s="37"/>
      <c r="G357" s="32"/>
      <c r="H357" s="32"/>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row>
    <row r="358" spans="1:46" ht="15">
      <c r="A358" s="37"/>
      <c r="B358" s="15"/>
      <c r="C358" s="37"/>
      <c r="D358" s="37"/>
      <c r="E358" s="37"/>
      <c r="F358" s="37"/>
      <c r="G358" s="32"/>
      <c r="H358" s="32"/>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row>
    <row r="359" spans="1:46" ht="15">
      <c r="A359" s="37"/>
      <c r="B359" s="15"/>
      <c r="C359" s="37"/>
      <c r="D359" s="37"/>
      <c r="E359" s="37"/>
      <c r="F359" s="37"/>
      <c r="G359" s="32"/>
      <c r="H359" s="32"/>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row>
    <row r="360" spans="1:46" ht="15">
      <c r="A360" s="37"/>
      <c r="B360" s="15"/>
      <c r="C360" s="37"/>
      <c r="D360" s="37"/>
      <c r="E360" s="37"/>
      <c r="F360" s="37"/>
      <c r="G360" s="32"/>
      <c r="H360" s="32"/>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row>
    <row r="361" spans="1:46" ht="15">
      <c r="A361" s="37"/>
      <c r="B361" s="15"/>
      <c r="C361" s="37"/>
      <c r="D361" s="37"/>
      <c r="E361" s="37"/>
      <c r="F361" s="37"/>
      <c r="G361" s="32"/>
      <c r="H361" s="32"/>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row>
    <row r="362" spans="1:46" ht="15">
      <c r="A362" s="37"/>
      <c r="B362" s="15"/>
      <c r="C362" s="37"/>
      <c r="D362" s="37"/>
      <c r="E362" s="37"/>
      <c r="F362" s="37"/>
      <c r="G362" s="32"/>
      <c r="H362" s="32"/>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row>
    <row r="363" spans="1:46" ht="15">
      <c r="A363" s="37"/>
      <c r="B363" s="15"/>
      <c r="C363" s="37"/>
      <c r="D363" s="37"/>
      <c r="E363" s="37"/>
      <c r="F363" s="37"/>
      <c r="G363" s="32"/>
      <c r="H363" s="32"/>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row>
    <row r="364" spans="1:46" ht="15">
      <c r="A364" s="37"/>
      <c r="B364" s="15"/>
      <c r="C364" s="37"/>
      <c r="D364" s="37"/>
      <c r="E364" s="37"/>
      <c r="F364" s="37"/>
      <c r="G364" s="32"/>
      <c r="H364" s="32"/>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row>
    <row r="365" spans="1:46" ht="15">
      <c r="A365" s="37"/>
      <c r="B365" s="15"/>
      <c r="C365" s="37"/>
      <c r="D365" s="37"/>
      <c r="E365" s="37"/>
      <c r="F365" s="37"/>
      <c r="G365" s="32"/>
      <c r="H365" s="32"/>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row>
    <row r="366" spans="1:46" ht="15">
      <c r="A366" s="37"/>
      <c r="B366" s="15"/>
      <c r="C366" s="37"/>
      <c r="D366" s="37"/>
      <c r="E366" s="37"/>
      <c r="F366" s="37"/>
      <c r="G366" s="32"/>
      <c r="H366" s="32"/>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row>
    <row r="367" spans="1:46" ht="15">
      <c r="A367" s="37"/>
      <c r="B367" s="15"/>
      <c r="C367" s="37"/>
      <c r="D367" s="37"/>
      <c r="E367" s="37"/>
      <c r="F367" s="37"/>
      <c r="G367" s="32"/>
      <c r="H367" s="32"/>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row>
    <row r="368" spans="1:46" ht="15">
      <c r="A368" s="37"/>
      <c r="B368" s="15"/>
      <c r="C368" s="37"/>
      <c r="D368" s="37"/>
      <c r="E368" s="37"/>
      <c r="F368" s="37"/>
      <c r="G368" s="32"/>
      <c r="H368" s="32"/>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row>
    <row r="369" spans="1:46" ht="15">
      <c r="A369" s="37"/>
      <c r="B369" s="15"/>
      <c r="C369" s="37"/>
      <c r="D369" s="37"/>
      <c r="E369" s="37"/>
      <c r="F369" s="37"/>
      <c r="G369" s="32"/>
      <c r="H369" s="32"/>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row>
    <row r="370" spans="1:46" ht="15">
      <c r="A370" s="37"/>
      <c r="B370" s="15"/>
      <c r="C370" s="37"/>
      <c r="D370" s="37"/>
      <c r="E370" s="37"/>
      <c r="F370" s="37"/>
      <c r="G370" s="32"/>
      <c r="H370" s="32"/>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row>
    <row r="371" spans="1:46" ht="15">
      <c r="A371" s="37"/>
      <c r="B371" s="15"/>
      <c r="C371" s="37"/>
      <c r="D371" s="37"/>
      <c r="E371" s="37"/>
      <c r="F371" s="37"/>
      <c r="G371" s="32"/>
      <c r="H371" s="32"/>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row>
    <row r="372" spans="1:46" ht="15">
      <c r="A372" s="37"/>
      <c r="B372" s="15"/>
      <c r="C372" s="37"/>
      <c r="D372" s="37"/>
      <c r="E372" s="37"/>
      <c r="F372" s="37"/>
      <c r="G372" s="32"/>
      <c r="H372" s="32"/>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row>
    <row r="373" spans="1:46" ht="15">
      <c r="A373" s="37"/>
      <c r="B373" s="15"/>
      <c r="C373" s="37"/>
      <c r="D373" s="37"/>
      <c r="E373" s="37"/>
      <c r="F373" s="37"/>
      <c r="G373" s="32"/>
      <c r="H373" s="32"/>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row>
    <row r="374" spans="1:46" ht="15">
      <c r="A374" s="37"/>
      <c r="B374" s="15"/>
      <c r="C374" s="37"/>
      <c r="D374" s="37"/>
      <c r="E374" s="37"/>
      <c r="F374" s="37"/>
      <c r="G374" s="32"/>
      <c r="H374" s="32"/>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row>
    <row r="375" spans="1:46" ht="15">
      <c r="A375" s="37"/>
      <c r="B375" s="15"/>
      <c r="C375" s="37"/>
      <c r="D375" s="37"/>
      <c r="E375" s="37"/>
      <c r="F375" s="37"/>
      <c r="G375" s="32"/>
      <c r="H375" s="32"/>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row>
    <row r="376" spans="1:46" ht="15">
      <c r="A376" s="37"/>
      <c r="B376" s="15"/>
      <c r="C376" s="37"/>
      <c r="D376" s="37"/>
      <c r="E376" s="37"/>
      <c r="F376" s="37"/>
      <c r="G376" s="32"/>
      <c r="H376" s="32"/>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row>
    <row r="377" spans="1:46" ht="15">
      <c r="A377" s="37"/>
      <c r="B377" s="15"/>
      <c r="C377" s="37"/>
      <c r="D377" s="37"/>
      <c r="E377" s="37"/>
      <c r="F377" s="37"/>
      <c r="G377" s="32"/>
      <c r="H377" s="32"/>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row>
    <row r="378" spans="1:46" ht="15">
      <c r="A378" s="37"/>
      <c r="B378" s="15"/>
      <c r="C378" s="37"/>
      <c r="D378" s="37"/>
      <c r="E378" s="37"/>
      <c r="F378" s="37"/>
      <c r="G378" s="32"/>
      <c r="H378" s="32"/>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row>
    <row r="379" spans="1:46" ht="15">
      <c r="A379" s="37"/>
      <c r="B379" s="15"/>
      <c r="C379" s="37"/>
      <c r="D379" s="37"/>
      <c r="E379" s="37"/>
      <c r="F379" s="37"/>
      <c r="G379" s="32"/>
      <c r="H379" s="32"/>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row>
    <row r="380" spans="1:46" ht="15">
      <c r="A380" s="37"/>
      <c r="B380" s="15"/>
      <c r="C380" s="37"/>
      <c r="D380" s="37"/>
      <c r="E380" s="37"/>
      <c r="F380" s="37"/>
      <c r="G380" s="32"/>
      <c r="H380" s="32"/>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row>
    <row r="381" spans="1:46" ht="15">
      <c r="A381" s="37"/>
      <c r="B381" s="15"/>
      <c r="C381" s="37"/>
      <c r="D381" s="37"/>
      <c r="E381" s="37"/>
      <c r="F381" s="37"/>
      <c r="G381" s="32"/>
      <c r="H381" s="32"/>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row>
    <row r="382" spans="1:46" ht="15">
      <c r="A382" s="37"/>
      <c r="B382" s="15"/>
      <c r="C382" s="37"/>
      <c r="D382" s="37"/>
      <c r="E382" s="37"/>
      <c r="F382" s="37"/>
      <c r="G382" s="32"/>
      <c r="H382" s="32"/>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row>
    <row r="383" spans="1:46" ht="15">
      <c r="A383" s="37"/>
      <c r="B383" s="15"/>
      <c r="C383" s="37"/>
      <c r="D383" s="37"/>
      <c r="E383" s="37"/>
      <c r="F383" s="37"/>
      <c r="G383" s="32"/>
      <c r="H383" s="32"/>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row>
    <row r="384" spans="1:46" ht="15">
      <c r="A384" s="37"/>
      <c r="B384" s="15"/>
      <c r="C384" s="37"/>
      <c r="D384" s="37"/>
      <c r="E384" s="37"/>
      <c r="F384" s="37"/>
      <c r="G384" s="32"/>
      <c r="H384" s="32"/>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row>
    <row r="385" spans="1:46" ht="15">
      <c r="A385" s="37"/>
      <c r="B385" s="15"/>
      <c r="C385" s="37"/>
      <c r="D385" s="37"/>
      <c r="E385" s="37"/>
      <c r="F385" s="37"/>
      <c r="G385" s="32"/>
      <c r="H385" s="32"/>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row>
    <row r="386" spans="1:46" ht="15">
      <c r="A386" s="37"/>
      <c r="B386" s="15"/>
      <c r="C386" s="37"/>
      <c r="D386" s="37"/>
      <c r="E386" s="37"/>
      <c r="F386" s="37"/>
      <c r="G386" s="32"/>
      <c r="H386" s="32"/>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row>
    <row r="387" spans="1:46" ht="15">
      <c r="A387" s="37"/>
      <c r="B387" s="15"/>
      <c r="C387" s="37"/>
      <c r="D387" s="37"/>
      <c r="E387" s="37"/>
      <c r="F387" s="37"/>
      <c r="G387" s="32"/>
      <c r="H387" s="32"/>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row>
    <row r="388" spans="1:46" ht="15">
      <c r="A388" s="37"/>
      <c r="B388" s="15"/>
      <c r="C388" s="37"/>
      <c r="D388" s="37"/>
      <c r="E388" s="37"/>
      <c r="F388" s="37"/>
      <c r="G388" s="32"/>
      <c r="H388" s="32"/>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row>
    <row r="389" spans="1:46" ht="15">
      <c r="A389" s="37"/>
      <c r="B389" s="15"/>
      <c r="C389" s="37"/>
      <c r="D389" s="37"/>
      <c r="E389" s="37"/>
      <c r="F389" s="37"/>
      <c r="G389" s="32"/>
      <c r="H389" s="32"/>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row>
    <row r="390" spans="1:46" ht="15">
      <c r="A390" s="37"/>
      <c r="B390" s="15"/>
      <c r="C390" s="37"/>
      <c r="D390" s="37"/>
      <c r="E390" s="37"/>
      <c r="F390" s="37"/>
      <c r="G390" s="32"/>
      <c r="H390" s="32"/>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row>
    <row r="391" spans="1:46" ht="15">
      <c r="A391" s="37"/>
      <c r="B391" s="15"/>
      <c r="C391" s="37"/>
      <c r="D391" s="37"/>
      <c r="E391" s="37"/>
      <c r="F391" s="37"/>
      <c r="G391" s="32"/>
      <c r="H391" s="32"/>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row>
    <row r="392" spans="1:46" ht="15">
      <c r="A392" s="37"/>
      <c r="B392" s="15"/>
      <c r="C392" s="37"/>
      <c r="D392" s="37"/>
      <c r="E392" s="37"/>
      <c r="F392" s="37"/>
      <c r="G392" s="32"/>
      <c r="H392" s="32"/>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row>
    <row r="393" spans="1:46" ht="15">
      <c r="A393" s="37"/>
      <c r="B393" s="15"/>
      <c r="C393" s="37"/>
      <c r="D393" s="37"/>
      <c r="E393" s="37"/>
      <c r="F393" s="37"/>
      <c r="G393" s="32"/>
      <c r="H393" s="32"/>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row>
    <row r="394" spans="1:46" ht="15">
      <c r="A394" s="37"/>
      <c r="B394" s="15"/>
      <c r="C394" s="37"/>
      <c r="D394" s="37"/>
      <c r="E394" s="37"/>
      <c r="F394" s="37"/>
      <c r="G394" s="32"/>
      <c r="H394" s="32"/>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row>
    <row r="395" spans="1:46" ht="15">
      <c r="A395" s="37"/>
      <c r="B395" s="15"/>
      <c r="C395" s="37"/>
      <c r="D395" s="37"/>
      <c r="E395" s="37"/>
      <c r="F395" s="37"/>
      <c r="G395" s="32"/>
      <c r="H395" s="32"/>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row>
    <row r="396" spans="1:46" ht="15">
      <c r="A396" s="37"/>
      <c r="B396" s="15"/>
      <c r="C396" s="37"/>
      <c r="D396" s="37"/>
      <c r="E396" s="37"/>
      <c r="F396" s="37"/>
      <c r="G396" s="32"/>
      <c r="H396" s="32"/>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row>
    <row r="397" spans="1:46" ht="15">
      <c r="A397" s="37"/>
      <c r="B397" s="15"/>
      <c r="C397" s="37"/>
      <c r="D397" s="37"/>
      <c r="E397" s="37"/>
      <c r="F397" s="37"/>
      <c r="G397" s="32"/>
      <c r="H397" s="32"/>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row>
    <row r="398" spans="1:46" ht="15">
      <c r="A398" s="37"/>
      <c r="B398" s="15"/>
      <c r="C398" s="37"/>
      <c r="D398" s="37"/>
      <c r="E398" s="37"/>
      <c r="F398" s="37"/>
      <c r="G398" s="32"/>
      <c r="H398" s="32"/>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row>
    <row r="399" spans="1:46" ht="15">
      <c r="A399" s="37"/>
      <c r="B399" s="15"/>
      <c r="C399" s="37"/>
      <c r="D399" s="37"/>
      <c r="E399" s="37"/>
      <c r="F399" s="37"/>
      <c r="G399" s="32"/>
      <c r="H399" s="32"/>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row>
    <row r="400" spans="1:46" ht="15">
      <c r="A400" s="37"/>
      <c r="B400" s="15"/>
      <c r="C400" s="37"/>
      <c r="D400" s="37"/>
      <c r="E400" s="37"/>
      <c r="F400" s="37"/>
      <c r="G400" s="32"/>
      <c r="H400" s="32"/>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row>
    <row r="401" spans="1:46" ht="15">
      <c r="A401" s="37"/>
      <c r="B401" s="15"/>
      <c r="C401" s="37"/>
      <c r="D401" s="37"/>
      <c r="E401" s="37"/>
      <c r="F401" s="37"/>
      <c r="G401" s="32"/>
      <c r="H401" s="32"/>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row>
    <row r="402" spans="1:46" ht="15">
      <c r="A402" s="37"/>
      <c r="B402" s="15"/>
      <c r="C402" s="37"/>
      <c r="D402" s="37"/>
      <c r="E402" s="37"/>
      <c r="F402" s="37"/>
      <c r="G402" s="32"/>
      <c r="H402" s="32"/>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row>
    <row r="403" spans="1:46" ht="15">
      <c r="A403" s="37"/>
      <c r="B403" s="15"/>
      <c r="C403" s="37"/>
      <c r="D403" s="37"/>
      <c r="E403" s="37"/>
      <c r="F403" s="37"/>
      <c r="G403" s="32"/>
      <c r="H403" s="32"/>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row>
    <row r="404" spans="1:46" ht="15">
      <c r="A404" s="37"/>
      <c r="B404" s="15"/>
      <c r="C404" s="37"/>
      <c r="D404" s="37"/>
      <c r="E404" s="37"/>
      <c r="F404" s="37"/>
      <c r="G404" s="32"/>
      <c r="H404" s="32"/>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row>
    <row r="405" spans="1:46" ht="15">
      <c r="A405" s="37"/>
      <c r="B405" s="15"/>
      <c r="C405" s="37"/>
      <c r="D405" s="37"/>
      <c r="E405" s="37"/>
      <c r="F405" s="37"/>
      <c r="G405" s="32"/>
      <c r="H405" s="32"/>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row>
    <row r="406" spans="1:46" ht="15">
      <c r="A406" s="37"/>
      <c r="B406" s="15"/>
      <c r="C406" s="37"/>
      <c r="D406" s="37"/>
      <c r="E406" s="37"/>
      <c r="F406" s="37"/>
      <c r="G406" s="32"/>
      <c r="H406" s="32"/>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row>
    <row r="407" spans="1:46" ht="15">
      <c r="A407" s="37"/>
      <c r="B407" s="15"/>
      <c r="C407" s="37"/>
      <c r="D407" s="37"/>
      <c r="E407" s="37"/>
      <c r="F407" s="37"/>
      <c r="G407" s="32"/>
      <c r="H407" s="32"/>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row>
    <row r="408" spans="1:46" ht="15">
      <c r="A408" s="37"/>
      <c r="B408" s="15"/>
      <c r="C408" s="37"/>
      <c r="D408" s="37"/>
      <c r="E408" s="37"/>
      <c r="F408" s="37"/>
      <c r="G408" s="32"/>
      <c r="H408" s="32"/>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row>
    <row r="409" spans="1:46" ht="15">
      <c r="A409" s="37"/>
      <c r="B409" s="15"/>
      <c r="C409" s="37"/>
      <c r="D409" s="37"/>
      <c r="E409" s="37"/>
      <c r="F409" s="37"/>
      <c r="G409" s="32"/>
      <c r="H409" s="32"/>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row>
    <row r="410" spans="1:46" ht="15">
      <c r="A410" s="37"/>
      <c r="B410" s="15"/>
      <c r="C410" s="37"/>
      <c r="D410" s="37"/>
      <c r="E410" s="37"/>
      <c r="F410" s="37"/>
      <c r="G410" s="32"/>
      <c r="H410" s="32"/>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row>
    <row r="411" spans="1:46" ht="15">
      <c r="A411" s="37"/>
      <c r="B411" s="15"/>
      <c r="C411" s="37"/>
      <c r="D411" s="37"/>
      <c r="E411" s="37"/>
      <c r="F411" s="37"/>
      <c r="G411" s="32"/>
      <c r="H411" s="32"/>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row>
    <row r="412" spans="1:46" ht="15">
      <c r="A412" s="37"/>
      <c r="B412" s="15"/>
      <c r="C412" s="37"/>
      <c r="D412" s="37"/>
      <c r="E412" s="37"/>
      <c r="F412" s="37"/>
      <c r="G412" s="32"/>
      <c r="H412" s="32"/>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row>
    <row r="413" spans="1:46" ht="15">
      <c r="A413" s="37"/>
      <c r="B413" s="15"/>
      <c r="C413" s="37"/>
      <c r="D413" s="37"/>
      <c r="E413" s="37"/>
      <c r="F413" s="37"/>
      <c r="G413" s="32"/>
      <c r="H413" s="32"/>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row>
    <row r="414" spans="1:46" ht="15">
      <c r="A414" s="37"/>
      <c r="B414" s="15"/>
      <c r="C414" s="37"/>
      <c r="D414" s="37"/>
      <c r="E414" s="37"/>
      <c r="F414" s="37"/>
      <c r="G414" s="32"/>
      <c r="H414" s="32"/>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row>
    <row r="415" spans="1:46" ht="15">
      <c r="A415" s="37"/>
      <c r="B415" s="15"/>
      <c r="C415" s="37"/>
      <c r="D415" s="37"/>
      <c r="E415" s="37"/>
      <c r="F415" s="37"/>
      <c r="G415" s="32"/>
      <c r="H415" s="32"/>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row>
    <row r="416" spans="1:46" ht="15">
      <c r="A416" s="37"/>
      <c r="B416" s="15"/>
      <c r="C416" s="37"/>
      <c r="D416" s="37"/>
      <c r="E416" s="37"/>
      <c r="F416" s="37"/>
      <c r="G416" s="32"/>
      <c r="H416" s="32"/>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row>
    <row r="417" spans="1:46" ht="15">
      <c r="A417" s="37"/>
      <c r="B417" s="15"/>
      <c r="C417" s="37"/>
      <c r="D417" s="37"/>
      <c r="E417" s="37"/>
      <c r="F417" s="37"/>
      <c r="G417" s="32"/>
      <c r="H417" s="32"/>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row>
    <row r="418" spans="1:46" ht="15">
      <c r="A418" s="37"/>
      <c r="B418" s="15"/>
      <c r="C418" s="37"/>
      <c r="D418" s="37"/>
      <c r="E418" s="37"/>
      <c r="F418" s="37"/>
      <c r="G418" s="32"/>
      <c r="H418" s="32"/>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row>
    <row r="419" spans="1:46" ht="15">
      <c r="A419" s="37"/>
      <c r="B419" s="15"/>
      <c r="C419" s="37"/>
      <c r="D419" s="37"/>
      <c r="E419" s="37"/>
      <c r="F419" s="37"/>
      <c r="G419" s="32"/>
      <c r="H419" s="32"/>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row>
    <row r="420" spans="1:46" ht="15">
      <c r="A420" s="37"/>
      <c r="B420" s="15"/>
      <c r="C420" s="37"/>
      <c r="D420" s="37"/>
      <c r="E420" s="37"/>
      <c r="F420" s="37"/>
      <c r="G420" s="32"/>
      <c r="H420" s="32"/>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row>
    <row r="421" spans="1:46" ht="15">
      <c r="A421" s="37"/>
      <c r="B421" s="15"/>
      <c r="C421" s="37"/>
      <c r="D421" s="37"/>
      <c r="E421" s="37"/>
      <c r="F421" s="37"/>
      <c r="G421" s="32"/>
      <c r="H421" s="32"/>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row>
    <row r="422" spans="1:46" ht="15">
      <c r="A422" s="37"/>
      <c r="B422" s="15"/>
      <c r="C422" s="37"/>
      <c r="D422" s="37"/>
      <c r="E422" s="37"/>
      <c r="F422" s="37"/>
      <c r="G422" s="32"/>
      <c r="H422" s="32"/>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row>
    <row r="423" spans="1:46" ht="15">
      <c r="A423" s="37"/>
      <c r="B423" s="15"/>
      <c r="C423" s="37"/>
      <c r="D423" s="37"/>
      <c r="E423" s="37"/>
      <c r="F423" s="37"/>
      <c r="G423" s="32"/>
      <c r="H423" s="32"/>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row>
    <row r="424" spans="1:46" ht="15">
      <c r="A424" s="37"/>
      <c r="B424" s="15"/>
      <c r="C424" s="37"/>
      <c r="D424" s="37"/>
      <c r="E424" s="37"/>
      <c r="F424" s="37"/>
      <c r="G424" s="32"/>
      <c r="H424" s="32"/>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row>
    <row r="425" spans="1:46" ht="15">
      <c r="A425" s="37"/>
      <c r="B425" s="15"/>
      <c r="C425" s="37"/>
      <c r="D425" s="37"/>
      <c r="E425" s="37"/>
      <c r="F425" s="37"/>
      <c r="G425" s="32"/>
      <c r="H425" s="32"/>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row>
    <row r="426" spans="1:46" ht="15">
      <c r="A426" s="37"/>
      <c r="B426" s="15"/>
      <c r="C426" s="37"/>
      <c r="D426" s="37"/>
      <c r="E426" s="37"/>
      <c r="F426" s="37"/>
      <c r="G426" s="32"/>
      <c r="H426" s="32"/>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row>
    <row r="427" spans="1:46" ht="15">
      <c r="A427" s="37"/>
      <c r="B427" s="15"/>
      <c r="C427" s="37"/>
      <c r="D427" s="37"/>
      <c r="E427" s="37"/>
      <c r="F427" s="37"/>
      <c r="G427" s="32"/>
      <c r="H427" s="32"/>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row>
    <row r="428" spans="1:46" ht="15">
      <c r="A428" s="37"/>
      <c r="B428" s="15"/>
      <c r="C428" s="37"/>
      <c r="D428" s="37"/>
      <c r="E428" s="37"/>
      <c r="F428" s="37"/>
      <c r="G428" s="32"/>
      <c r="H428" s="32"/>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row>
    <row r="429" spans="1:46" ht="15">
      <c r="A429" s="37"/>
      <c r="B429" s="15"/>
      <c r="C429" s="37"/>
      <c r="D429" s="37"/>
      <c r="E429" s="37"/>
      <c r="F429" s="37"/>
      <c r="G429" s="32"/>
      <c r="H429" s="32"/>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row>
    <row r="430" spans="1:46" ht="15">
      <c r="A430" s="37"/>
      <c r="B430" s="15"/>
      <c r="C430" s="37"/>
      <c r="D430" s="37"/>
      <c r="E430" s="37"/>
      <c r="F430" s="37"/>
      <c r="G430" s="32"/>
      <c r="H430" s="32"/>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row>
    <row r="431" spans="1:46" ht="15">
      <c r="A431" s="37"/>
      <c r="B431" s="15"/>
      <c r="C431" s="37"/>
      <c r="D431" s="37"/>
      <c r="E431" s="37"/>
      <c r="F431" s="37"/>
      <c r="G431" s="32"/>
      <c r="H431" s="32"/>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row>
    <row r="432" spans="1:46" ht="15">
      <c r="A432" s="37"/>
      <c r="B432" s="15"/>
      <c r="C432" s="37"/>
      <c r="D432" s="37"/>
      <c r="E432" s="37"/>
      <c r="F432" s="37"/>
      <c r="G432" s="32"/>
      <c r="H432" s="32"/>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row>
    <row r="433" spans="1:46" ht="15">
      <c r="A433" s="37"/>
      <c r="B433" s="15"/>
      <c r="C433" s="37"/>
      <c r="D433" s="37"/>
      <c r="E433" s="37"/>
      <c r="F433" s="37"/>
      <c r="G433" s="32"/>
      <c r="H433" s="32"/>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row>
    <row r="434" spans="1:46" ht="15">
      <c r="A434" s="37"/>
      <c r="B434" s="15"/>
      <c r="C434" s="37"/>
      <c r="D434" s="37"/>
      <c r="E434" s="37"/>
      <c r="F434" s="37"/>
      <c r="G434" s="32"/>
      <c r="H434" s="32"/>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row>
    <row r="435" spans="1:46" ht="15">
      <c r="A435" s="37"/>
      <c r="B435" s="15"/>
      <c r="C435" s="37"/>
      <c r="D435" s="37"/>
      <c r="E435" s="37"/>
      <c r="F435" s="37"/>
      <c r="G435" s="32"/>
      <c r="H435" s="32"/>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row>
    <row r="436" spans="1:46" ht="15">
      <c r="A436" s="37"/>
      <c r="B436" s="15"/>
      <c r="C436" s="37"/>
      <c r="D436" s="37"/>
      <c r="E436" s="37"/>
      <c r="F436" s="37"/>
      <c r="G436" s="32"/>
      <c r="H436" s="32"/>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row>
    <row r="437" spans="1:46" ht="15">
      <c r="A437" s="37"/>
      <c r="B437" s="15"/>
      <c r="C437" s="37"/>
      <c r="D437" s="37"/>
      <c r="E437" s="37"/>
      <c r="F437" s="37"/>
      <c r="G437" s="32"/>
      <c r="H437" s="32"/>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row>
    <row r="438" spans="1:46" ht="15">
      <c r="A438" s="37"/>
      <c r="B438" s="15"/>
      <c r="C438" s="37"/>
      <c r="D438" s="37"/>
      <c r="E438" s="37"/>
      <c r="F438" s="37"/>
      <c r="G438" s="32"/>
      <c r="H438" s="32"/>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row>
    <row r="439" spans="1:46" ht="15">
      <c r="A439" s="37"/>
      <c r="B439" s="15"/>
      <c r="C439" s="37"/>
      <c r="D439" s="37"/>
      <c r="E439" s="37"/>
      <c r="F439" s="37"/>
      <c r="G439" s="32"/>
      <c r="H439" s="32"/>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row>
    <row r="440" spans="1:46" ht="15">
      <c r="A440" s="37"/>
      <c r="B440" s="15"/>
      <c r="C440" s="37"/>
      <c r="D440" s="37"/>
      <c r="E440" s="37"/>
      <c r="F440" s="37"/>
      <c r="G440" s="32"/>
      <c r="H440" s="32"/>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row>
    <row r="441" spans="1:46" ht="15">
      <c r="A441" s="37"/>
      <c r="B441" s="15"/>
      <c r="C441" s="37"/>
      <c r="D441" s="37"/>
      <c r="E441" s="37"/>
      <c r="F441" s="37"/>
      <c r="G441" s="32"/>
      <c r="H441" s="32"/>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row>
    <row r="442" spans="1:46" ht="15">
      <c r="A442" s="37"/>
      <c r="B442" s="15"/>
      <c r="C442" s="37"/>
      <c r="D442" s="37"/>
      <c r="E442" s="37"/>
      <c r="F442" s="37"/>
      <c r="G442" s="32"/>
      <c r="H442" s="32"/>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row>
    <row r="443" spans="1:46" ht="15">
      <c r="A443" s="37"/>
      <c r="B443" s="15"/>
      <c r="C443" s="37"/>
      <c r="D443" s="37"/>
      <c r="E443" s="37"/>
      <c r="F443" s="37"/>
      <c r="G443" s="32"/>
      <c r="H443" s="32"/>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row>
    <row r="444" spans="1:46" ht="15">
      <c r="A444" s="37"/>
      <c r="B444" s="15"/>
      <c r="C444" s="37"/>
      <c r="D444" s="37"/>
      <c r="E444" s="37"/>
      <c r="F444" s="37"/>
      <c r="G444" s="32"/>
      <c r="H444" s="32"/>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row>
    <row r="445" spans="1:46" ht="15">
      <c r="A445" s="37"/>
      <c r="B445" s="15"/>
      <c r="C445" s="37"/>
      <c r="D445" s="37"/>
      <c r="E445" s="37"/>
      <c r="F445" s="37"/>
      <c r="G445" s="32"/>
      <c r="H445" s="32"/>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row>
    <row r="446" spans="1:46" ht="15">
      <c r="A446" s="37"/>
      <c r="B446" s="15"/>
      <c r="C446" s="37"/>
      <c r="D446" s="37"/>
      <c r="E446" s="37"/>
      <c r="F446" s="37"/>
      <c r="G446" s="32"/>
      <c r="H446" s="32"/>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row>
    <row r="447" spans="1:46" ht="15">
      <c r="A447" s="37"/>
      <c r="B447" s="15"/>
      <c r="C447" s="37"/>
      <c r="D447" s="37"/>
      <c r="E447" s="37"/>
      <c r="F447" s="37"/>
      <c r="G447" s="32"/>
      <c r="H447" s="32"/>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row>
    <row r="448" spans="1:46" ht="15">
      <c r="A448" s="37"/>
      <c r="B448" s="15"/>
      <c r="C448" s="37"/>
      <c r="D448" s="37"/>
      <c r="E448" s="37"/>
      <c r="F448" s="37"/>
      <c r="G448" s="32"/>
      <c r="H448" s="32"/>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row>
    <row r="449" spans="1:46" ht="15">
      <c r="A449" s="37"/>
      <c r="B449" s="15"/>
      <c r="C449" s="37"/>
      <c r="D449" s="37"/>
      <c r="E449" s="37"/>
      <c r="F449" s="37"/>
      <c r="G449" s="32"/>
      <c r="H449" s="32"/>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row>
    <row r="450" spans="1:46" ht="15">
      <c r="A450" s="37"/>
      <c r="B450" s="15"/>
      <c r="C450" s="37"/>
      <c r="D450" s="37"/>
      <c r="E450" s="37"/>
      <c r="F450" s="37"/>
      <c r="G450" s="32"/>
      <c r="H450" s="32"/>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row>
    <row r="451" spans="1:46" ht="15">
      <c r="A451" s="37"/>
      <c r="B451" s="15"/>
      <c r="C451" s="37"/>
      <c r="D451" s="37"/>
      <c r="E451" s="37"/>
      <c r="F451" s="37"/>
      <c r="G451" s="32"/>
      <c r="H451" s="32"/>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row>
    <row r="452" spans="1:46" ht="15">
      <c r="A452" s="37"/>
      <c r="B452" s="15"/>
      <c r="C452" s="37"/>
      <c r="D452" s="37"/>
      <c r="E452" s="37"/>
      <c r="F452" s="37"/>
      <c r="G452" s="32"/>
      <c r="H452" s="32"/>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row>
    <row r="453" spans="1:46" ht="15">
      <c r="A453" s="37"/>
      <c r="B453" s="15"/>
      <c r="C453" s="37"/>
      <c r="D453" s="37"/>
      <c r="E453" s="37"/>
      <c r="F453" s="37"/>
      <c r="G453" s="32"/>
      <c r="H453" s="32"/>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row>
    <row r="454" spans="1:46" ht="15">
      <c r="A454" s="37"/>
      <c r="B454" s="15"/>
      <c r="C454" s="37"/>
      <c r="D454" s="37"/>
      <c r="E454" s="37"/>
      <c r="F454" s="37"/>
      <c r="G454" s="32"/>
      <c r="H454" s="32"/>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row>
    <row r="455" spans="1:46" ht="15">
      <c r="A455" s="37"/>
      <c r="B455" s="15"/>
      <c r="C455" s="37"/>
      <c r="D455" s="37"/>
      <c r="E455" s="37"/>
      <c r="F455" s="37"/>
      <c r="G455" s="32"/>
      <c r="H455" s="32"/>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row>
    <row r="456" spans="1:46" ht="15">
      <c r="A456" s="37"/>
      <c r="B456" s="15"/>
      <c r="C456" s="37"/>
      <c r="D456" s="37"/>
      <c r="E456" s="37"/>
      <c r="F456" s="37"/>
      <c r="G456" s="32"/>
      <c r="H456" s="32"/>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row>
    <row r="457" spans="1:46" ht="15">
      <c r="A457" s="37"/>
      <c r="B457" s="15"/>
      <c r="C457" s="37"/>
      <c r="D457" s="37"/>
      <c r="E457" s="37"/>
      <c r="F457" s="37"/>
      <c r="G457" s="32"/>
      <c r="H457" s="32"/>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row>
    <row r="458" spans="1:46" ht="15">
      <c r="A458" s="37"/>
      <c r="B458" s="15"/>
      <c r="C458" s="37"/>
      <c r="D458" s="37"/>
      <c r="E458" s="37"/>
      <c r="F458" s="37"/>
      <c r="G458" s="32"/>
      <c r="H458" s="32"/>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row>
    <row r="459" spans="1:46" ht="15">
      <c r="A459" s="37"/>
      <c r="B459" s="15"/>
      <c r="C459" s="37"/>
      <c r="D459" s="37"/>
      <c r="E459" s="37"/>
      <c r="F459" s="37"/>
      <c r="G459" s="32"/>
      <c r="H459" s="32"/>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row>
    <row r="460" spans="1:46" ht="15">
      <c r="A460" s="37"/>
      <c r="B460" s="15"/>
      <c r="C460" s="37"/>
      <c r="D460" s="37"/>
      <c r="E460" s="37"/>
      <c r="F460" s="37"/>
      <c r="G460" s="32"/>
      <c r="H460" s="32"/>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row>
    <row r="461" spans="1:46" ht="15">
      <c r="A461" s="37"/>
      <c r="B461" s="15"/>
      <c r="C461" s="37"/>
      <c r="D461" s="37"/>
      <c r="E461" s="37"/>
      <c r="F461" s="37"/>
      <c r="G461" s="32"/>
      <c r="H461" s="32"/>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row>
    <row r="462" spans="1:46" ht="15">
      <c r="A462" s="37"/>
      <c r="B462" s="15"/>
      <c r="C462" s="37"/>
      <c r="D462" s="37"/>
      <c r="E462" s="37"/>
      <c r="F462" s="37"/>
      <c r="G462" s="32"/>
      <c r="H462" s="32"/>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row>
    <row r="463" spans="1:46" ht="15">
      <c r="A463" s="37"/>
      <c r="B463" s="15"/>
      <c r="C463" s="37"/>
      <c r="D463" s="37"/>
      <c r="E463" s="37"/>
      <c r="F463" s="37"/>
      <c r="G463" s="32"/>
      <c r="H463" s="32"/>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row>
    <row r="464" spans="1:46" ht="15">
      <c r="A464" s="37"/>
      <c r="B464" s="15"/>
      <c r="C464" s="37"/>
      <c r="D464" s="37"/>
      <c r="E464" s="37"/>
      <c r="F464" s="37"/>
      <c r="G464" s="32"/>
      <c r="H464" s="32"/>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row>
    <row r="465" spans="1:46" ht="15">
      <c r="A465" s="37"/>
      <c r="B465" s="15"/>
      <c r="C465" s="37"/>
      <c r="D465" s="37"/>
      <c r="E465" s="37"/>
      <c r="F465" s="37"/>
      <c r="G465" s="32"/>
      <c r="H465" s="32"/>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row>
    <row r="466" spans="1:46" ht="15">
      <c r="A466" s="37"/>
      <c r="B466" s="15"/>
      <c r="C466" s="37"/>
      <c r="D466" s="37"/>
      <c r="E466" s="37"/>
      <c r="F466" s="37"/>
      <c r="G466" s="32"/>
      <c r="H466" s="32"/>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row>
    <row r="467" spans="1:46" ht="15">
      <c r="A467" s="37"/>
      <c r="B467" s="15"/>
      <c r="C467" s="37"/>
      <c r="D467" s="37"/>
      <c r="E467" s="37"/>
      <c r="F467" s="37"/>
      <c r="G467" s="32"/>
      <c r="H467" s="32"/>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row>
    <row r="468" spans="1:46" ht="15">
      <c r="A468" s="37"/>
      <c r="B468" s="15"/>
      <c r="C468" s="37"/>
      <c r="D468" s="37"/>
      <c r="E468" s="37"/>
      <c r="F468" s="37"/>
      <c r="G468" s="32"/>
      <c r="H468" s="32"/>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row>
    <row r="469" spans="1:46" ht="15">
      <c r="A469" s="37"/>
      <c r="B469" s="15"/>
      <c r="C469" s="37"/>
      <c r="D469" s="37"/>
      <c r="E469" s="37"/>
      <c r="F469" s="37"/>
      <c r="G469" s="32"/>
      <c r="H469" s="32"/>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row>
    <row r="470" spans="1:46" ht="15">
      <c r="A470" s="37"/>
      <c r="B470" s="15"/>
      <c r="C470" s="37"/>
      <c r="D470" s="37"/>
      <c r="E470" s="37"/>
      <c r="F470" s="37"/>
      <c r="G470" s="32"/>
      <c r="H470" s="32"/>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row>
    <row r="471" spans="1:46" ht="15">
      <c r="A471" s="37"/>
      <c r="B471" s="15"/>
      <c r="C471" s="37"/>
      <c r="D471" s="37"/>
      <c r="E471" s="37"/>
      <c r="F471" s="37"/>
      <c r="G471" s="32"/>
      <c r="H471" s="32"/>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row>
    <row r="472" spans="1:46" ht="15">
      <c r="A472" s="37"/>
      <c r="B472" s="15"/>
      <c r="C472" s="37"/>
      <c r="D472" s="37"/>
      <c r="E472" s="37"/>
      <c r="F472" s="37"/>
      <c r="G472" s="32"/>
      <c r="H472" s="32"/>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row>
    <row r="473" spans="1:46" ht="15">
      <c r="A473" s="37"/>
      <c r="B473" s="15"/>
      <c r="C473" s="37"/>
      <c r="D473" s="37"/>
      <c r="E473" s="37"/>
      <c r="F473" s="37"/>
      <c r="G473" s="32"/>
      <c r="H473" s="32"/>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row>
    <row r="474" spans="1:46" ht="15">
      <c r="A474" s="37"/>
      <c r="B474" s="15"/>
      <c r="C474" s="37"/>
      <c r="D474" s="37"/>
      <c r="E474" s="37"/>
      <c r="F474" s="37"/>
      <c r="G474" s="32"/>
      <c r="H474" s="32"/>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row>
    <row r="475" spans="1:46" ht="15">
      <c r="A475" s="37"/>
      <c r="B475" s="15"/>
      <c r="C475" s="37"/>
      <c r="D475" s="37"/>
      <c r="E475" s="37"/>
      <c r="F475" s="37"/>
      <c r="G475" s="32"/>
      <c r="H475" s="32"/>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row>
    <row r="476" spans="1:46" ht="15">
      <c r="A476" s="37"/>
      <c r="B476" s="15"/>
      <c r="C476" s="37"/>
      <c r="D476" s="37"/>
      <c r="E476" s="37"/>
      <c r="F476" s="37"/>
      <c r="G476" s="32"/>
      <c r="H476" s="32"/>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row>
    <row r="477" spans="1:46" ht="15">
      <c r="A477" s="37"/>
      <c r="B477" s="15"/>
      <c r="C477" s="37"/>
      <c r="D477" s="37"/>
      <c r="E477" s="37"/>
      <c r="F477" s="37"/>
      <c r="G477" s="32"/>
      <c r="H477" s="32"/>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row>
    <row r="478" spans="1:46" ht="15">
      <c r="A478" s="37"/>
      <c r="B478" s="15"/>
      <c r="C478" s="37"/>
      <c r="D478" s="37"/>
      <c r="E478" s="37"/>
      <c r="F478" s="37"/>
      <c r="G478" s="32"/>
      <c r="H478" s="32"/>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row>
    <row r="479" spans="1:46" ht="15">
      <c r="A479" s="37"/>
      <c r="B479" s="15"/>
      <c r="C479" s="37"/>
      <c r="D479" s="37"/>
      <c r="E479" s="37"/>
      <c r="F479" s="37"/>
      <c r="G479" s="32"/>
      <c r="H479" s="32"/>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row>
    <row r="480" spans="1:46" ht="15">
      <c r="A480" s="37"/>
      <c r="B480" s="15"/>
      <c r="C480" s="37"/>
      <c r="D480" s="37"/>
      <c r="E480" s="37"/>
      <c r="F480" s="37"/>
      <c r="G480" s="32"/>
      <c r="H480" s="32"/>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row>
    <row r="481" spans="1:46" ht="15">
      <c r="A481" s="37"/>
      <c r="B481" s="15"/>
      <c r="C481" s="37"/>
      <c r="D481" s="37"/>
      <c r="E481" s="37"/>
      <c r="F481" s="37"/>
      <c r="G481" s="32"/>
      <c r="H481" s="32"/>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row>
    <row r="482" spans="1:46" ht="15">
      <c r="A482" s="37"/>
      <c r="B482" s="15"/>
      <c r="C482" s="37"/>
      <c r="D482" s="37"/>
      <c r="E482" s="37"/>
      <c r="F482" s="37"/>
      <c r="G482" s="32"/>
      <c r="H482" s="32"/>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row>
    <row r="483" spans="1:46" ht="15">
      <c r="A483" s="37"/>
      <c r="B483" s="15"/>
      <c r="C483" s="37"/>
      <c r="D483" s="37"/>
      <c r="E483" s="37"/>
      <c r="F483" s="37"/>
      <c r="G483" s="32"/>
      <c r="H483" s="32"/>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row>
    <row r="484" spans="1:46" ht="15">
      <c r="A484" s="37"/>
      <c r="B484" s="15"/>
      <c r="C484" s="37"/>
      <c r="D484" s="37"/>
      <c r="E484" s="37"/>
      <c r="F484" s="37"/>
      <c r="G484" s="32"/>
      <c r="H484" s="32"/>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row>
    <row r="485" spans="1:46" ht="15">
      <c r="A485" s="37"/>
      <c r="B485" s="15"/>
      <c r="C485" s="37"/>
      <c r="D485" s="37"/>
      <c r="E485" s="37"/>
      <c r="F485" s="37"/>
      <c r="G485" s="32"/>
      <c r="H485" s="32"/>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row>
    <row r="486" spans="1:46" ht="15">
      <c r="A486" s="37"/>
      <c r="B486" s="15"/>
      <c r="C486" s="37"/>
      <c r="D486" s="37"/>
      <c r="E486" s="37"/>
      <c r="F486" s="37"/>
      <c r="G486" s="32"/>
      <c r="H486" s="32"/>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row>
    <row r="487" spans="1:46" ht="15">
      <c r="A487" s="37"/>
      <c r="B487" s="15"/>
      <c r="C487" s="37"/>
      <c r="D487" s="37"/>
      <c r="E487" s="37"/>
      <c r="F487" s="37"/>
      <c r="G487" s="32"/>
      <c r="H487" s="32"/>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row>
    <row r="488" spans="1:46" ht="15">
      <c r="A488" s="37"/>
      <c r="B488" s="15"/>
      <c r="C488" s="37"/>
      <c r="D488" s="37"/>
      <c r="E488" s="37"/>
      <c r="F488" s="37"/>
      <c r="G488" s="32"/>
      <c r="H488" s="32"/>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row>
    <row r="489" spans="1:46" ht="15">
      <c r="A489" s="37"/>
      <c r="B489" s="15"/>
      <c r="C489" s="37"/>
      <c r="D489" s="37"/>
      <c r="E489" s="37"/>
      <c r="F489" s="37"/>
      <c r="G489" s="32"/>
      <c r="H489" s="32"/>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row>
    <row r="490" spans="1:46" ht="15">
      <c r="A490" s="37"/>
      <c r="B490" s="15"/>
      <c r="C490" s="37"/>
      <c r="D490" s="37"/>
      <c r="E490" s="37"/>
      <c r="F490" s="37"/>
      <c r="G490" s="32"/>
      <c r="H490" s="32"/>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row>
    <row r="491" spans="1:46" ht="15">
      <c r="A491" s="37"/>
      <c r="B491" s="15"/>
      <c r="C491" s="37"/>
      <c r="D491" s="37"/>
      <c r="E491" s="37"/>
      <c r="F491" s="37"/>
      <c r="G491" s="32"/>
      <c r="H491" s="32"/>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row>
    <row r="492" spans="1:46" ht="15">
      <c r="A492" s="37"/>
      <c r="B492" s="15"/>
      <c r="C492" s="37"/>
      <c r="D492" s="37"/>
      <c r="E492" s="37"/>
      <c r="F492" s="37"/>
      <c r="G492" s="32"/>
      <c r="H492" s="32"/>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row>
    <row r="493" spans="1:46" ht="15">
      <c r="A493" s="37"/>
      <c r="B493" s="15"/>
      <c r="C493" s="37"/>
      <c r="D493" s="37"/>
      <c r="E493" s="37"/>
      <c r="F493" s="37"/>
      <c r="G493" s="32"/>
      <c r="H493" s="32"/>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row>
    <row r="494" spans="1:46" ht="15">
      <c r="A494" s="37"/>
      <c r="B494" s="15"/>
      <c r="C494" s="37"/>
      <c r="D494" s="37"/>
      <c r="E494" s="37"/>
      <c r="F494" s="37"/>
      <c r="G494" s="32"/>
      <c r="H494" s="32"/>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row>
    <row r="495" spans="1:46" ht="15">
      <c r="A495" s="37"/>
      <c r="B495" s="15"/>
      <c r="C495" s="37"/>
      <c r="D495" s="37"/>
      <c r="E495" s="37"/>
      <c r="F495" s="37"/>
      <c r="G495" s="32"/>
      <c r="H495" s="32"/>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row>
    <row r="496" spans="1:46" ht="15">
      <c r="A496" s="37"/>
      <c r="B496" s="15"/>
      <c r="C496" s="37"/>
      <c r="D496" s="37"/>
      <c r="E496" s="37"/>
      <c r="F496" s="37"/>
      <c r="G496" s="32"/>
      <c r="H496" s="32"/>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row>
    <row r="497" spans="1:46" ht="15">
      <c r="A497" s="37"/>
      <c r="B497" s="15"/>
      <c r="C497" s="37"/>
      <c r="D497" s="37"/>
      <c r="E497" s="37"/>
      <c r="F497" s="37"/>
      <c r="G497" s="32"/>
      <c r="H497" s="32"/>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row>
    <row r="498" spans="1:46" ht="15">
      <c r="A498" s="37"/>
      <c r="B498" s="15"/>
      <c r="C498" s="37"/>
      <c r="D498" s="37"/>
      <c r="E498" s="37"/>
      <c r="F498" s="37"/>
      <c r="G498" s="32"/>
      <c r="H498" s="32"/>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row>
    <row r="499" spans="1:46" ht="15">
      <c r="A499" s="37"/>
      <c r="B499" s="15"/>
      <c r="C499" s="37"/>
      <c r="D499" s="37"/>
      <c r="E499" s="37"/>
      <c r="F499" s="37"/>
      <c r="G499" s="32"/>
      <c r="H499" s="32"/>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row>
    <row r="500" spans="1:46" ht="15">
      <c r="A500" s="37"/>
      <c r="B500" s="15"/>
      <c r="C500" s="37"/>
      <c r="D500" s="37"/>
      <c r="E500" s="37"/>
      <c r="F500" s="37"/>
      <c r="G500" s="32"/>
      <c r="H500" s="32"/>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row>
    <row r="501" spans="1:46" ht="15">
      <c r="A501" s="37"/>
      <c r="B501" s="15"/>
      <c r="C501" s="37"/>
      <c r="D501" s="37"/>
      <c r="E501" s="37"/>
      <c r="F501" s="37"/>
      <c r="G501" s="32"/>
      <c r="H501" s="32"/>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row>
    <row r="502" spans="1:46" ht="15">
      <c r="A502" s="37"/>
      <c r="B502" s="15"/>
      <c r="C502" s="37"/>
      <c r="D502" s="37"/>
      <c r="E502" s="37"/>
      <c r="F502" s="37"/>
      <c r="G502" s="32"/>
      <c r="H502" s="32"/>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row>
    <row r="503" spans="1:46" ht="15">
      <c r="A503" s="37"/>
      <c r="B503" s="15"/>
      <c r="C503" s="37"/>
      <c r="D503" s="37"/>
      <c r="E503" s="37"/>
      <c r="F503" s="37"/>
      <c r="G503" s="32"/>
      <c r="H503" s="32"/>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row>
    <row r="504" spans="1:46" ht="15">
      <c r="A504" s="37"/>
      <c r="B504" s="15"/>
      <c r="C504" s="37"/>
      <c r="D504" s="37"/>
      <c r="E504" s="37"/>
      <c r="F504" s="37"/>
      <c r="G504" s="32"/>
      <c r="H504" s="32"/>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row>
    <row r="505" spans="1:46" ht="15">
      <c r="A505" s="37"/>
      <c r="B505" s="15"/>
      <c r="C505" s="37"/>
      <c r="D505" s="37"/>
      <c r="E505" s="37"/>
      <c r="F505" s="37"/>
      <c r="G505" s="32"/>
      <c r="H505" s="32"/>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row>
    <row r="506" spans="1:46" ht="15">
      <c r="A506" s="37"/>
      <c r="B506" s="15"/>
      <c r="C506" s="37"/>
      <c r="D506" s="37"/>
      <c r="E506" s="37"/>
      <c r="F506" s="37"/>
      <c r="G506" s="32"/>
      <c r="H506" s="32"/>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row>
    <row r="507" spans="1:46" ht="15">
      <c r="A507" s="37"/>
      <c r="B507" s="15"/>
      <c r="C507" s="37"/>
      <c r="D507" s="37"/>
      <c r="E507" s="37"/>
      <c r="F507" s="37"/>
      <c r="G507" s="32"/>
      <c r="H507" s="32"/>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row>
    <row r="508" spans="1:46" ht="15">
      <c r="A508" s="37"/>
      <c r="B508" s="15"/>
      <c r="C508" s="37"/>
      <c r="D508" s="37"/>
      <c r="E508" s="37"/>
      <c r="F508" s="37"/>
      <c r="G508" s="32"/>
      <c r="H508" s="32"/>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row>
    <row r="509" spans="1:46" ht="15">
      <c r="A509" s="37"/>
      <c r="B509" s="15"/>
      <c r="C509" s="37"/>
      <c r="D509" s="37"/>
      <c r="E509" s="37"/>
      <c r="F509" s="37"/>
      <c r="G509" s="32"/>
      <c r="H509" s="32"/>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row>
    <row r="510" spans="1:46" ht="15">
      <c r="A510" s="37"/>
      <c r="B510" s="15"/>
      <c r="C510" s="37"/>
      <c r="D510" s="37"/>
      <c r="E510" s="37"/>
      <c r="F510" s="37"/>
      <c r="G510" s="32"/>
      <c r="H510" s="32"/>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row>
    <row r="511" spans="1:46" ht="15">
      <c r="A511" s="37"/>
      <c r="B511" s="15"/>
      <c r="C511" s="37"/>
      <c r="D511" s="37"/>
      <c r="E511" s="37"/>
      <c r="F511" s="37"/>
      <c r="G511" s="32"/>
      <c r="H511" s="32"/>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row>
    <row r="512" spans="1:46" ht="15">
      <c r="A512" s="37"/>
      <c r="B512" s="15"/>
      <c r="C512" s="37"/>
      <c r="D512" s="37"/>
      <c r="E512" s="37"/>
      <c r="F512" s="37"/>
      <c r="G512" s="32"/>
      <c r="H512" s="32"/>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row>
    <row r="513" spans="1:46" ht="15">
      <c r="A513" s="37"/>
      <c r="B513" s="15"/>
      <c r="C513" s="37"/>
      <c r="D513" s="37"/>
      <c r="E513" s="37"/>
      <c r="F513" s="37"/>
      <c r="G513" s="32"/>
      <c r="H513" s="32"/>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row>
    <row r="514" spans="1:46" ht="15">
      <c r="A514" s="37"/>
      <c r="B514" s="15"/>
      <c r="C514" s="37"/>
      <c r="D514" s="37"/>
      <c r="E514" s="37"/>
      <c r="F514" s="37"/>
      <c r="G514" s="32"/>
      <c r="H514" s="32"/>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row>
    <row r="515" spans="1:46" ht="15">
      <c r="A515" s="37"/>
      <c r="B515" s="15"/>
      <c r="C515" s="37"/>
      <c r="D515" s="37"/>
      <c r="E515" s="37"/>
      <c r="F515" s="37"/>
      <c r="G515" s="32"/>
      <c r="H515" s="32"/>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row>
    <row r="516" spans="1:46" ht="15">
      <c r="A516" s="37"/>
      <c r="B516" s="15"/>
      <c r="C516" s="37"/>
      <c r="D516" s="37"/>
      <c r="E516" s="37"/>
      <c r="F516" s="37"/>
      <c r="G516" s="32"/>
      <c r="H516" s="32"/>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row>
    <row r="517" spans="1:46" ht="15">
      <c r="A517" s="37"/>
      <c r="B517" s="15"/>
      <c r="C517" s="37"/>
      <c r="D517" s="37"/>
      <c r="E517" s="37"/>
      <c r="F517" s="37"/>
      <c r="G517" s="32"/>
      <c r="H517" s="32"/>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row>
    <row r="518" spans="1:46" ht="15">
      <c r="A518" s="37"/>
      <c r="B518" s="15"/>
      <c r="C518" s="37"/>
      <c r="D518" s="37"/>
      <c r="E518" s="37"/>
      <c r="F518" s="37"/>
      <c r="G518" s="32"/>
      <c r="H518" s="32"/>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row>
    <row r="519" spans="1:46" ht="15">
      <c r="A519" s="37"/>
      <c r="B519" s="15"/>
      <c r="C519" s="37"/>
      <c r="D519" s="37"/>
      <c r="E519" s="37"/>
      <c r="F519" s="37"/>
      <c r="G519" s="32"/>
      <c r="H519" s="32"/>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row>
    <row r="520" spans="1:46" ht="15">
      <c r="A520" s="37"/>
      <c r="B520" s="15"/>
      <c r="C520" s="37"/>
      <c r="D520" s="37"/>
      <c r="E520" s="37"/>
      <c r="F520" s="37"/>
      <c r="G520" s="32"/>
      <c r="H520" s="32"/>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row>
    <row r="521" spans="1:46" ht="15">
      <c r="A521" s="37"/>
      <c r="B521" s="15"/>
      <c r="C521" s="37"/>
      <c r="D521" s="37"/>
      <c r="E521" s="37"/>
      <c r="F521" s="37"/>
      <c r="G521" s="32"/>
      <c r="H521" s="32"/>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row>
    <row r="522" spans="1:46" ht="15">
      <c r="A522" s="37"/>
      <c r="B522" s="15"/>
      <c r="C522" s="37"/>
      <c r="D522" s="37"/>
      <c r="E522" s="37"/>
      <c r="F522" s="37"/>
      <c r="G522" s="32"/>
      <c r="H522" s="32"/>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row>
    <row r="523" spans="1:46" ht="15">
      <c r="A523" s="37"/>
      <c r="B523" s="15"/>
      <c r="C523" s="37"/>
      <c r="D523" s="37"/>
      <c r="E523" s="37"/>
      <c r="F523" s="37"/>
      <c r="G523" s="32"/>
      <c r="H523" s="32"/>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row>
    <row r="524" spans="1:46" ht="15">
      <c r="A524" s="37"/>
      <c r="B524" s="15"/>
      <c r="C524" s="37"/>
      <c r="D524" s="37"/>
      <c r="E524" s="37"/>
      <c r="F524" s="37"/>
      <c r="G524" s="32"/>
      <c r="H524" s="32"/>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row>
    <row r="525" spans="1:46" ht="15">
      <c r="A525" s="37"/>
      <c r="B525" s="15"/>
      <c r="C525" s="37"/>
      <c r="D525" s="37"/>
      <c r="E525" s="37"/>
      <c r="F525" s="37"/>
      <c r="G525" s="32"/>
      <c r="H525" s="32"/>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row>
    <row r="526" spans="1:46" ht="15">
      <c r="A526" s="37"/>
      <c r="B526" s="15"/>
      <c r="C526" s="37"/>
      <c r="D526" s="37"/>
      <c r="E526" s="37"/>
      <c r="F526" s="37"/>
      <c r="G526" s="32"/>
      <c r="H526" s="32"/>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row>
    <row r="527" spans="1:46" ht="15">
      <c r="A527" s="37"/>
      <c r="B527" s="15"/>
      <c r="C527" s="37"/>
      <c r="D527" s="37"/>
      <c r="E527" s="37"/>
      <c r="F527" s="37"/>
      <c r="G527" s="32"/>
      <c r="H527" s="32"/>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row>
    <row r="528" spans="1:46" ht="15">
      <c r="A528" s="37"/>
      <c r="B528" s="15"/>
      <c r="C528" s="37"/>
      <c r="D528" s="37"/>
      <c r="E528" s="37"/>
      <c r="F528" s="37"/>
      <c r="G528" s="32"/>
      <c r="H528" s="32"/>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row>
    <row r="529" spans="1:46" ht="15">
      <c r="A529" s="37"/>
      <c r="B529" s="15"/>
      <c r="C529" s="37"/>
      <c r="D529" s="37"/>
      <c r="E529" s="37"/>
      <c r="F529" s="37"/>
      <c r="G529" s="32"/>
      <c r="H529" s="32"/>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row>
    <row r="530" spans="1:46" ht="15">
      <c r="A530" s="37"/>
      <c r="B530" s="15"/>
      <c r="C530" s="37"/>
      <c r="D530" s="37"/>
      <c r="E530" s="37"/>
      <c r="F530" s="37"/>
      <c r="G530" s="32"/>
      <c r="H530" s="32"/>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row>
    <row r="531" spans="1:46" ht="15">
      <c r="A531" s="37"/>
      <c r="B531" s="15"/>
      <c r="C531" s="37"/>
      <c r="D531" s="37"/>
      <c r="E531" s="37"/>
      <c r="F531" s="37"/>
      <c r="G531" s="32"/>
      <c r="H531" s="32"/>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row>
    <row r="532" spans="1:46" ht="15">
      <c r="A532" s="37"/>
      <c r="B532" s="15"/>
      <c r="C532" s="37"/>
      <c r="D532" s="37"/>
      <c r="E532" s="37"/>
      <c r="F532" s="37"/>
      <c r="G532" s="32"/>
      <c r="H532" s="32"/>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row>
    <row r="533" spans="1:46" ht="15">
      <c r="A533" s="37"/>
      <c r="B533" s="15"/>
      <c r="C533" s="37"/>
      <c r="D533" s="37"/>
      <c r="E533" s="37"/>
      <c r="F533" s="37"/>
      <c r="G533" s="32"/>
      <c r="H533" s="32"/>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row>
    <row r="534" spans="1:46" ht="15">
      <c r="A534" s="37"/>
      <c r="B534" s="15"/>
      <c r="C534" s="37"/>
      <c r="D534" s="37"/>
      <c r="E534" s="37"/>
      <c r="F534" s="37"/>
      <c r="G534" s="32"/>
      <c r="H534" s="32"/>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row>
    <row r="535" spans="1:46" ht="15">
      <c r="A535" s="37"/>
      <c r="B535" s="15"/>
      <c r="C535" s="37"/>
      <c r="D535" s="37"/>
      <c r="E535" s="37"/>
      <c r="F535" s="37"/>
      <c r="G535" s="32"/>
      <c r="H535" s="32"/>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row>
    <row r="536" spans="1:46" ht="15">
      <c r="A536" s="37"/>
      <c r="B536" s="15"/>
      <c r="C536" s="37"/>
      <c r="D536" s="37"/>
      <c r="E536" s="37"/>
      <c r="F536" s="37"/>
      <c r="G536" s="32"/>
      <c r="H536" s="32"/>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row>
    <row r="537" spans="1:46" ht="15">
      <c r="A537" s="37"/>
      <c r="B537" s="15"/>
      <c r="C537" s="37"/>
      <c r="D537" s="37"/>
      <c r="E537" s="37"/>
      <c r="F537" s="37"/>
      <c r="G537" s="32"/>
      <c r="H537" s="32"/>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row>
    <row r="538" spans="1:46" ht="15">
      <c r="A538" s="37"/>
      <c r="B538" s="15"/>
      <c r="C538" s="37"/>
      <c r="D538" s="37"/>
      <c r="E538" s="37"/>
      <c r="F538" s="37"/>
      <c r="G538" s="32"/>
      <c r="H538" s="32"/>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row>
    <row r="539" spans="1:46" ht="15">
      <c r="A539" s="37"/>
      <c r="B539" s="15"/>
      <c r="C539" s="37"/>
      <c r="D539" s="37"/>
      <c r="E539" s="37"/>
      <c r="F539" s="37"/>
      <c r="G539" s="32"/>
      <c r="H539" s="32"/>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row>
    <row r="540" spans="1:46" ht="15">
      <c r="A540" s="37"/>
      <c r="B540" s="15"/>
      <c r="C540" s="37"/>
      <c r="D540" s="37"/>
      <c r="E540" s="37"/>
      <c r="F540" s="37"/>
      <c r="G540" s="32"/>
      <c r="H540" s="32"/>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row>
    <row r="541" spans="1:46" ht="15">
      <c r="A541" s="37"/>
      <c r="B541" s="15"/>
      <c r="C541" s="37"/>
      <c r="D541" s="37"/>
      <c r="E541" s="37"/>
      <c r="F541" s="37"/>
      <c r="G541" s="32"/>
      <c r="H541" s="32"/>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row>
    <row r="542" spans="1:46" ht="15">
      <c r="A542" s="37"/>
      <c r="B542" s="15"/>
      <c r="C542" s="37"/>
      <c r="D542" s="37"/>
      <c r="E542" s="37"/>
      <c r="F542" s="37"/>
      <c r="G542" s="32"/>
      <c r="H542" s="32"/>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row>
    <row r="543" spans="1:46" ht="15">
      <c r="A543" s="37"/>
      <c r="B543" s="15"/>
      <c r="C543" s="37"/>
      <c r="D543" s="37"/>
      <c r="E543" s="37"/>
      <c r="F543" s="37"/>
      <c r="G543" s="32"/>
      <c r="H543" s="32"/>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row>
    <row r="544" spans="1:46" ht="15">
      <c r="A544" s="37"/>
      <c r="B544" s="15"/>
      <c r="C544" s="37"/>
      <c r="D544" s="37"/>
      <c r="E544" s="37"/>
      <c r="F544" s="37"/>
      <c r="G544" s="32"/>
      <c r="H544" s="32"/>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row>
    <row r="545" spans="1:46" ht="15">
      <c r="A545" s="37"/>
      <c r="B545" s="15"/>
      <c r="C545" s="37"/>
      <c r="D545" s="37"/>
      <c r="E545" s="37"/>
      <c r="F545" s="37"/>
      <c r="G545" s="32"/>
      <c r="H545" s="32"/>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row>
    <row r="546" spans="1:46" ht="15">
      <c r="A546" s="37"/>
      <c r="B546" s="15"/>
      <c r="C546" s="37"/>
      <c r="D546" s="37"/>
      <c r="E546" s="37"/>
      <c r="F546" s="37"/>
      <c r="G546" s="32"/>
      <c r="H546" s="32"/>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row>
    <row r="547" spans="1:46" ht="15">
      <c r="A547" s="37"/>
      <c r="B547" s="15"/>
      <c r="C547" s="37"/>
      <c r="D547" s="37"/>
      <c r="E547" s="37"/>
      <c r="F547" s="37"/>
      <c r="G547" s="32"/>
      <c r="H547" s="32"/>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row>
    <row r="548" spans="1:46" ht="15">
      <c r="A548" s="37"/>
      <c r="B548" s="15"/>
      <c r="C548" s="37"/>
      <c r="D548" s="37"/>
      <c r="E548" s="37"/>
      <c r="F548" s="37"/>
      <c r="G548" s="32"/>
      <c r="H548" s="32"/>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row>
    <row r="549" spans="1:46" ht="15">
      <c r="A549" s="37"/>
      <c r="B549" s="15"/>
      <c r="C549" s="37"/>
      <c r="D549" s="37"/>
      <c r="E549" s="37"/>
      <c r="F549" s="37"/>
      <c r="G549" s="32"/>
      <c r="H549" s="32"/>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row>
    <row r="550" spans="1:46" ht="15">
      <c r="A550" s="37"/>
      <c r="B550" s="15"/>
      <c r="C550" s="37"/>
      <c r="D550" s="37"/>
      <c r="E550" s="37"/>
      <c r="F550" s="37"/>
      <c r="G550" s="32"/>
      <c r="H550" s="32"/>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row>
    <row r="551" spans="1:46" ht="15">
      <c r="A551" s="37"/>
      <c r="B551" s="15"/>
      <c r="C551" s="37"/>
      <c r="D551" s="37"/>
      <c r="E551" s="37"/>
      <c r="F551" s="37"/>
      <c r="G551" s="32"/>
      <c r="H551" s="32"/>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row>
    <row r="552" spans="1:46" ht="15">
      <c r="A552" s="37"/>
      <c r="B552" s="15"/>
      <c r="C552" s="37"/>
      <c r="D552" s="37"/>
      <c r="E552" s="37"/>
      <c r="F552" s="37"/>
      <c r="G552" s="32"/>
      <c r="H552" s="32"/>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row>
    <row r="553" spans="1:46" ht="15">
      <c r="A553" s="37"/>
      <c r="B553" s="15"/>
      <c r="C553" s="37"/>
      <c r="D553" s="37"/>
      <c r="E553" s="37"/>
      <c r="F553" s="37"/>
      <c r="G553" s="32"/>
      <c r="H553" s="32"/>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row>
    <row r="554" spans="1:46" ht="15">
      <c r="A554" s="37"/>
      <c r="B554" s="15"/>
      <c r="C554" s="37"/>
      <c r="D554" s="37"/>
      <c r="E554" s="37"/>
      <c r="F554" s="37"/>
      <c r="G554" s="32"/>
      <c r="H554" s="32"/>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row>
    <row r="555" spans="1:46" ht="15">
      <c r="A555" s="37"/>
      <c r="B555" s="15"/>
      <c r="C555" s="37"/>
      <c r="D555" s="37"/>
      <c r="E555" s="37"/>
      <c r="F555" s="37"/>
      <c r="G555" s="32"/>
      <c r="H555" s="32"/>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row>
    <row r="556" spans="1:46" ht="15">
      <c r="A556" s="37"/>
      <c r="B556" s="15"/>
      <c r="C556" s="37"/>
      <c r="D556" s="37"/>
      <c r="E556" s="37"/>
      <c r="F556" s="37"/>
      <c r="G556" s="32"/>
      <c r="H556" s="32"/>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row>
    <row r="557" spans="1:46" ht="15">
      <c r="A557" s="37"/>
      <c r="B557" s="15"/>
      <c r="C557" s="37"/>
      <c r="D557" s="37"/>
      <c r="E557" s="37"/>
      <c r="F557" s="37"/>
      <c r="G557" s="32"/>
      <c r="H557" s="32"/>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row>
    <row r="558" spans="1:46" ht="15">
      <c r="A558" s="37"/>
      <c r="B558" s="15"/>
      <c r="C558" s="37"/>
      <c r="D558" s="37"/>
      <c r="E558" s="37"/>
      <c r="F558" s="37"/>
      <c r="G558" s="32"/>
      <c r="H558" s="32"/>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row>
    <row r="559" spans="1:46" ht="15">
      <c r="A559" s="37"/>
      <c r="B559" s="15"/>
      <c r="C559" s="37"/>
      <c r="D559" s="37"/>
      <c r="E559" s="37"/>
      <c r="F559" s="37"/>
      <c r="G559" s="32"/>
      <c r="H559" s="32"/>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row>
    <row r="560" spans="1:46" ht="15">
      <c r="A560" s="37"/>
      <c r="B560" s="15"/>
      <c r="C560" s="37"/>
      <c r="D560" s="37"/>
      <c r="E560" s="37"/>
      <c r="F560" s="37"/>
      <c r="G560" s="32"/>
      <c r="H560" s="32"/>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row>
    <row r="561" spans="1:46" ht="15">
      <c r="A561" s="37"/>
      <c r="B561" s="15"/>
      <c r="C561" s="37"/>
      <c r="D561" s="37"/>
      <c r="E561" s="37"/>
      <c r="F561" s="37"/>
      <c r="G561" s="32"/>
      <c r="H561" s="32"/>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row>
    <row r="562" spans="1:46" ht="15">
      <c r="A562" s="37"/>
      <c r="B562" s="15"/>
      <c r="C562" s="37"/>
      <c r="D562" s="37"/>
      <c r="E562" s="37"/>
      <c r="F562" s="37"/>
      <c r="G562" s="32"/>
      <c r="H562" s="32"/>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row>
    <row r="563" spans="1:46" ht="15">
      <c r="A563" s="37"/>
      <c r="B563" s="15"/>
      <c r="C563" s="37"/>
      <c r="D563" s="37"/>
      <c r="E563" s="37"/>
      <c r="F563" s="37"/>
      <c r="G563" s="32"/>
      <c r="H563" s="32"/>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row>
    <row r="564" spans="1:46" ht="15">
      <c r="A564" s="37"/>
      <c r="B564" s="15"/>
      <c r="C564" s="37"/>
      <c r="D564" s="37"/>
      <c r="E564" s="37"/>
      <c r="F564" s="37"/>
      <c r="G564" s="32"/>
      <c r="H564" s="32"/>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row>
    <row r="565" spans="1:46" ht="15">
      <c r="A565" s="37"/>
      <c r="B565" s="15"/>
      <c r="C565" s="37"/>
      <c r="D565" s="37"/>
      <c r="E565" s="37"/>
      <c r="F565" s="37"/>
      <c r="G565" s="32"/>
      <c r="H565" s="32"/>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row>
    <row r="566" spans="1:46" ht="15">
      <c r="A566" s="37"/>
      <c r="B566" s="15"/>
      <c r="C566" s="37"/>
      <c r="D566" s="37"/>
      <c r="E566" s="37"/>
      <c r="F566" s="37"/>
      <c r="G566" s="32"/>
      <c r="H566" s="32"/>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row>
    <row r="567" spans="1:46" ht="15">
      <c r="A567" s="37"/>
      <c r="B567" s="15"/>
      <c r="C567" s="37"/>
      <c r="D567" s="37"/>
      <c r="E567" s="37"/>
      <c r="F567" s="37"/>
      <c r="G567" s="32"/>
      <c r="H567" s="32"/>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row>
    <row r="568" spans="1:46" ht="15">
      <c r="A568" s="37"/>
      <c r="B568" s="15"/>
      <c r="C568" s="37"/>
      <c r="D568" s="37"/>
      <c r="E568" s="37"/>
      <c r="F568" s="37"/>
      <c r="G568" s="32"/>
      <c r="H568" s="32"/>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row>
    <row r="569" spans="1:46" ht="15">
      <c r="A569" s="37"/>
      <c r="B569" s="15"/>
      <c r="C569" s="37"/>
      <c r="D569" s="37"/>
      <c r="E569" s="37"/>
      <c r="F569" s="37"/>
      <c r="G569" s="32"/>
      <c r="H569" s="32"/>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row>
    <row r="570" spans="1:46" ht="15">
      <c r="A570" s="37"/>
      <c r="B570" s="15"/>
      <c r="C570" s="37"/>
      <c r="D570" s="37"/>
      <c r="E570" s="37"/>
      <c r="F570" s="37"/>
      <c r="G570" s="32"/>
      <c r="H570" s="32"/>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row>
    <row r="571" spans="1:46" ht="15">
      <c r="A571" s="37"/>
      <c r="B571" s="15"/>
      <c r="C571" s="37"/>
      <c r="D571" s="37"/>
      <c r="E571" s="37"/>
      <c r="F571" s="37"/>
      <c r="G571" s="32"/>
      <c r="H571" s="32"/>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row>
    <row r="572" spans="1:46" ht="15">
      <c r="A572" s="37"/>
      <c r="B572" s="15"/>
      <c r="C572" s="37"/>
      <c r="D572" s="37"/>
      <c r="E572" s="37"/>
      <c r="F572" s="37"/>
      <c r="G572" s="32"/>
      <c r="H572" s="32"/>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row>
    <row r="573" spans="1:46" ht="15">
      <c r="A573" s="37"/>
      <c r="B573" s="15"/>
      <c r="C573" s="37"/>
      <c r="D573" s="37"/>
      <c r="E573" s="37"/>
      <c r="F573" s="37"/>
      <c r="G573" s="32"/>
      <c r="H573" s="32"/>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row>
    <row r="574" spans="1:46" ht="15">
      <c r="A574" s="37"/>
      <c r="B574" s="15"/>
      <c r="C574" s="37"/>
      <c r="D574" s="37"/>
      <c r="E574" s="37"/>
      <c r="F574" s="37"/>
      <c r="G574" s="32"/>
      <c r="H574" s="32"/>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row>
    <row r="575" spans="1:46" ht="15">
      <c r="A575" s="37"/>
      <c r="B575" s="15"/>
      <c r="C575" s="37"/>
      <c r="D575" s="37"/>
      <c r="E575" s="37"/>
      <c r="F575" s="37"/>
      <c r="G575" s="32"/>
      <c r="H575" s="32"/>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row>
    <row r="576" spans="1:46" ht="15">
      <c r="A576" s="37"/>
      <c r="B576" s="15"/>
      <c r="C576" s="37"/>
      <c r="D576" s="37"/>
      <c r="E576" s="37"/>
      <c r="F576" s="37"/>
      <c r="G576" s="32"/>
      <c r="H576" s="32"/>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row>
    <row r="577" spans="1:46" ht="15">
      <c r="A577" s="37"/>
      <c r="B577" s="15"/>
      <c r="C577" s="37"/>
      <c r="D577" s="37"/>
      <c r="E577" s="37"/>
      <c r="F577" s="37"/>
      <c r="G577" s="32"/>
      <c r="H577" s="32"/>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row>
    <row r="578" spans="1:46" ht="15">
      <c r="A578" s="37"/>
      <c r="B578" s="15"/>
      <c r="C578" s="37"/>
      <c r="D578" s="37"/>
      <c r="E578" s="37"/>
      <c r="F578" s="37"/>
      <c r="G578" s="32"/>
      <c r="H578" s="32"/>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row>
    <row r="579" spans="1:46" ht="15">
      <c r="A579" s="37"/>
      <c r="B579" s="15"/>
      <c r="C579" s="37"/>
      <c r="D579" s="37"/>
      <c r="E579" s="37"/>
      <c r="F579" s="37"/>
      <c r="G579" s="32"/>
      <c r="H579" s="32"/>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row>
    <row r="580" spans="1:46" ht="15">
      <c r="A580" s="37"/>
      <c r="B580" s="15"/>
      <c r="C580" s="37"/>
      <c r="D580" s="37"/>
      <c r="E580" s="37"/>
      <c r="F580" s="37"/>
      <c r="G580" s="32"/>
      <c r="H580" s="32"/>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row>
    <row r="581" spans="1:46" ht="15">
      <c r="A581" s="37"/>
      <c r="B581" s="15"/>
      <c r="C581" s="37"/>
      <c r="D581" s="37"/>
      <c r="E581" s="37"/>
      <c r="F581" s="37"/>
      <c r="G581" s="32"/>
      <c r="H581" s="32"/>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row>
    <row r="582" spans="1:46" ht="15">
      <c r="A582" s="37"/>
      <c r="B582" s="15"/>
      <c r="C582" s="37"/>
      <c r="D582" s="37"/>
      <c r="E582" s="37"/>
      <c r="F582" s="37"/>
      <c r="G582" s="32"/>
      <c r="H582" s="32"/>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row>
    <row r="583" spans="1:46" ht="15">
      <c r="A583" s="37"/>
      <c r="B583" s="15"/>
      <c r="C583" s="37"/>
      <c r="D583" s="37"/>
      <c r="E583" s="37"/>
      <c r="F583" s="37"/>
      <c r="G583" s="32"/>
      <c r="H583" s="32"/>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row>
    <row r="584" spans="1:46" ht="15">
      <c r="A584" s="37"/>
      <c r="B584" s="15"/>
      <c r="C584" s="37"/>
      <c r="D584" s="37"/>
      <c r="E584" s="37"/>
      <c r="F584" s="37"/>
      <c r="G584" s="32"/>
      <c r="H584" s="32"/>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row>
    <row r="585" spans="1:46" ht="15">
      <c r="A585" s="37"/>
      <c r="B585" s="15"/>
      <c r="C585" s="37"/>
      <c r="D585" s="37"/>
      <c r="E585" s="37"/>
      <c r="F585" s="37"/>
      <c r="G585" s="32"/>
      <c r="H585" s="32"/>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row>
    <row r="586" spans="1:46" ht="15">
      <c r="A586" s="37"/>
      <c r="B586" s="15"/>
      <c r="C586" s="37"/>
      <c r="D586" s="37"/>
      <c r="E586" s="37"/>
      <c r="F586" s="37"/>
      <c r="G586" s="32"/>
      <c r="H586" s="32"/>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row>
    <row r="587" spans="1:46" ht="15">
      <c r="A587" s="37"/>
      <c r="B587" s="15"/>
      <c r="C587" s="37"/>
      <c r="D587" s="37"/>
      <c r="E587" s="37"/>
      <c r="F587" s="37"/>
      <c r="G587" s="32"/>
      <c r="H587" s="32"/>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row>
    <row r="588" spans="1:46" ht="15">
      <c r="A588" s="37"/>
      <c r="B588" s="15"/>
      <c r="C588" s="37"/>
      <c r="D588" s="37"/>
      <c r="E588" s="37"/>
      <c r="F588" s="37"/>
      <c r="G588" s="32"/>
      <c r="H588" s="32"/>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row>
    <row r="589" spans="1:46" ht="15">
      <c r="A589" s="37"/>
      <c r="B589" s="15"/>
      <c r="C589" s="37"/>
      <c r="D589" s="37"/>
      <c r="E589" s="37"/>
      <c r="F589" s="37"/>
      <c r="G589" s="32"/>
      <c r="H589" s="32"/>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row>
    <row r="590" spans="1:46" ht="15">
      <c r="A590" s="37"/>
      <c r="B590" s="15"/>
      <c r="C590" s="37"/>
      <c r="D590" s="37"/>
      <c r="E590" s="37"/>
      <c r="F590" s="37"/>
      <c r="G590" s="32"/>
      <c r="H590" s="32"/>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row>
    <row r="591" spans="1:46" ht="15">
      <c r="A591" s="37"/>
      <c r="B591" s="15"/>
      <c r="C591" s="37"/>
      <c r="D591" s="37"/>
      <c r="E591" s="37"/>
      <c r="F591" s="37"/>
      <c r="G591" s="32"/>
      <c r="H591" s="32"/>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row>
    <row r="592" spans="1:46" ht="15">
      <c r="A592" s="37"/>
      <c r="B592" s="15"/>
      <c r="C592" s="37"/>
      <c r="D592" s="37"/>
      <c r="E592" s="37"/>
      <c r="F592" s="37"/>
      <c r="G592" s="32"/>
      <c r="H592" s="32"/>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row>
    <row r="593" spans="1:46" ht="15">
      <c r="A593" s="37"/>
      <c r="B593" s="15"/>
      <c r="C593" s="37"/>
      <c r="D593" s="37"/>
      <c r="E593" s="37"/>
      <c r="F593" s="37"/>
      <c r="G593" s="32"/>
      <c r="H593" s="32"/>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row>
    <row r="594" spans="1:46" ht="15">
      <c r="A594" s="37"/>
      <c r="B594" s="15"/>
      <c r="C594" s="37"/>
      <c r="D594" s="37"/>
      <c r="E594" s="37"/>
      <c r="F594" s="37"/>
      <c r="G594" s="32"/>
      <c r="H594" s="32"/>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row>
    <row r="595" spans="1:46" ht="15">
      <c r="A595" s="37"/>
      <c r="B595" s="15"/>
      <c r="C595" s="37"/>
      <c r="D595" s="37"/>
      <c r="E595" s="37"/>
      <c r="F595" s="37"/>
      <c r="G595" s="32"/>
      <c r="H595" s="32"/>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row>
    <row r="596" spans="1:46" ht="15">
      <c r="A596" s="37"/>
      <c r="B596" s="15"/>
      <c r="C596" s="37"/>
      <c r="D596" s="37"/>
      <c r="E596" s="37"/>
      <c r="F596" s="37"/>
      <c r="G596" s="32"/>
      <c r="H596" s="32"/>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row>
    <row r="597" spans="1:46" ht="15">
      <c r="A597" s="37"/>
      <c r="B597" s="15"/>
      <c r="C597" s="37"/>
      <c r="D597" s="37"/>
      <c r="E597" s="37"/>
      <c r="F597" s="37"/>
      <c r="G597" s="32"/>
      <c r="H597" s="32"/>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row>
    <row r="598" spans="1:46" ht="15">
      <c r="A598" s="37"/>
      <c r="B598" s="15"/>
      <c r="C598" s="37"/>
      <c r="D598" s="37"/>
      <c r="E598" s="37"/>
      <c r="F598" s="37"/>
      <c r="G598" s="32"/>
      <c r="H598" s="32"/>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row>
    <row r="599" spans="1:46" ht="15">
      <c r="A599" s="37"/>
      <c r="B599" s="15"/>
      <c r="C599" s="37"/>
      <c r="D599" s="37"/>
      <c r="E599" s="37"/>
      <c r="F599" s="37"/>
      <c r="G599" s="32"/>
      <c r="H599" s="32"/>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row>
    <row r="600" spans="1:46" ht="15">
      <c r="A600" s="37"/>
      <c r="B600" s="15"/>
      <c r="C600" s="37"/>
      <c r="D600" s="37"/>
      <c r="E600" s="37"/>
      <c r="F600" s="37"/>
      <c r="G600" s="32"/>
      <c r="H600" s="32"/>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row>
    <row r="601" spans="1:46" ht="15">
      <c r="A601" s="37"/>
      <c r="B601" s="15"/>
      <c r="C601" s="37"/>
      <c r="D601" s="37"/>
      <c r="E601" s="37"/>
      <c r="F601" s="37"/>
      <c r="G601" s="32"/>
      <c r="H601" s="32"/>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row>
    <row r="602" spans="1:46" ht="15">
      <c r="A602" s="37"/>
      <c r="B602" s="15"/>
      <c r="C602" s="37"/>
      <c r="D602" s="37"/>
      <c r="E602" s="37"/>
      <c r="F602" s="37"/>
      <c r="G602" s="32"/>
      <c r="H602" s="32"/>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row>
    <row r="603" spans="1:46" ht="15">
      <c r="A603" s="37"/>
      <c r="B603" s="15"/>
      <c r="C603" s="37"/>
      <c r="D603" s="37"/>
      <c r="E603" s="37"/>
      <c r="F603" s="37"/>
      <c r="G603" s="32"/>
      <c r="H603" s="32"/>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row>
    <row r="604" spans="1:46" ht="15">
      <c r="A604" s="37"/>
      <c r="B604" s="15"/>
      <c r="C604" s="37"/>
      <c r="D604" s="37"/>
      <c r="E604" s="37"/>
      <c r="F604" s="37"/>
      <c r="G604" s="32"/>
      <c r="H604" s="32"/>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row>
    <row r="605" spans="1:46" ht="15">
      <c r="A605" s="37"/>
      <c r="B605" s="15"/>
      <c r="C605" s="37"/>
      <c r="D605" s="37"/>
      <c r="E605" s="37"/>
      <c r="F605" s="37"/>
      <c r="G605" s="32"/>
      <c r="H605" s="32"/>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row>
    <row r="606" spans="1:46" ht="15">
      <c r="A606" s="37"/>
      <c r="B606" s="15"/>
      <c r="C606" s="37"/>
      <c r="D606" s="37"/>
      <c r="E606" s="37"/>
      <c r="F606" s="37"/>
      <c r="G606" s="32"/>
      <c r="H606" s="32"/>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row>
    <row r="607" spans="1:46" ht="15">
      <c r="A607" s="37"/>
      <c r="B607" s="15"/>
      <c r="C607" s="37"/>
      <c r="D607" s="37"/>
      <c r="E607" s="37"/>
      <c r="F607" s="37"/>
      <c r="G607" s="32"/>
      <c r="H607" s="32"/>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row>
    <row r="608" spans="1:46" ht="15">
      <c r="A608" s="37"/>
      <c r="B608" s="15"/>
      <c r="C608" s="37"/>
      <c r="D608" s="37"/>
      <c r="E608" s="37"/>
      <c r="F608" s="37"/>
      <c r="G608" s="32"/>
      <c r="H608" s="32"/>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row>
    <row r="609" spans="1:46" ht="15">
      <c r="A609" s="37"/>
      <c r="B609" s="15"/>
      <c r="C609" s="37"/>
      <c r="D609" s="37"/>
      <c r="E609" s="37"/>
      <c r="F609" s="37"/>
      <c r="G609" s="32"/>
      <c r="H609" s="32"/>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row>
    <row r="610" spans="1:46" ht="15">
      <c r="A610" s="37"/>
      <c r="B610" s="15"/>
      <c r="C610" s="37"/>
      <c r="D610" s="37"/>
      <c r="E610" s="37"/>
      <c r="F610" s="37"/>
      <c r="G610" s="32"/>
      <c r="H610" s="32"/>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row>
    <row r="611" spans="1:46" ht="15">
      <c r="A611" s="37"/>
      <c r="B611" s="15"/>
      <c r="C611" s="37"/>
      <c r="D611" s="37"/>
      <c r="E611" s="37"/>
      <c r="F611" s="37"/>
      <c r="G611" s="32"/>
      <c r="H611" s="32"/>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row>
    <row r="612" spans="1:46" ht="15">
      <c r="A612" s="37"/>
      <c r="B612" s="15"/>
      <c r="C612" s="37"/>
      <c r="D612" s="37"/>
      <c r="E612" s="37"/>
      <c r="F612" s="37"/>
      <c r="G612" s="32"/>
      <c r="H612" s="32"/>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row>
    <row r="613" spans="1:46" ht="15">
      <c r="A613" s="37"/>
      <c r="B613" s="15"/>
      <c r="C613" s="37"/>
      <c r="D613" s="37"/>
      <c r="E613" s="37"/>
      <c r="F613" s="37"/>
      <c r="G613" s="32"/>
      <c r="H613" s="32"/>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row>
    <row r="614" spans="1:46" ht="15">
      <c r="A614" s="37"/>
      <c r="B614" s="15"/>
      <c r="C614" s="37"/>
      <c r="D614" s="37"/>
      <c r="E614" s="37"/>
      <c r="F614" s="37"/>
      <c r="G614" s="32"/>
      <c r="H614" s="32"/>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row>
    <row r="615" spans="1:46" ht="15">
      <c r="A615" s="37"/>
      <c r="B615" s="15"/>
      <c r="C615" s="37"/>
      <c r="D615" s="37"/>
      <c r="E615" s="37"/>
      <c r="F615" s="37"/>
      <c r="G615" s="32"/>
      <c r="H615" s="32"/>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row>
    <row r="616" spans="1:46" ht="15">
      <c r="A616" s="37"/>
      <c r="B616" s="15"/>
      <c r="C616" s="37"/>
      <c r="D616" s="37"/>
      <c r="E616" s="37"/>
      <c r="F616" s="37"/>
      <c r="G616" s="32"/>
      <c r="H616" s="32"/>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row>
    <row r="617" spans="1:46" ht="15">
      <c r="A617" s="37"/>
      <c r="B617" s="15"/>
      <c r="C617" s="37"/>
      <c r="D617" s="37"/>
      <c r="E617" s="37"/>
      <c r="F617" s="37"/>
      <c r="G617" s="32"/>
      <c r="H617" s="32"/>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row>
    <row r="618" spans="1:46" ht="15">
      <c r="A618" s="37"/>
      <c r="B618" s="15"/>
      <c r="C618" s="37"/>
      <c r="D618" s="37"/>
      <c r="E618" s="37"/>
      <c r="F618" s="37"/>
      <c r="G618" s="32"/>
      <c r="H618" s="32"/>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row>
    <row r="619" spans="1:46" ht="15">
      <c r="A619" s="37"/>
      <c r="B619" s="15"/>
      <c r="C619" s="37"/>
      <c r="D619" s="37"/>
      <c r="E619" s="37"/>
      <c r="F619" s="37"/>
      <c r="G619" s="32"/>
      <c r="H619" s="32"/>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row>
    <row r="620" spans="1:46" ht="15">
      <c r="A620" s="37"/>
      <c r="B620" s="15"/>
      <c r="C620" s="37"/>
      <c r="D620" s="37"/>
      <c r="E620" s="37"/>
      <c r="F620" s="37"/>
      <c r="G620" s="32"/>
      <c r="H620" s="32"/>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row>
    <row r="621" spans="1:46" ht="15">
      <c r="A621" s="37"/>
      <c r="B621" s="15"/>
      <c r="C621" s="37"/>
      <c r="D621" s="37"/>
      <c r="E621" s="37"/>
      <c r="F621" s="37"/>
      <c r="G621" s="32"/>
      <c r="H621" s="32"/>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row>
    <row r="622" spans="1:46" ht="15">
      <c r="A622" s="37"/>
      <c r="B622" s="15"/>
      <c r="C622" s="37"/>
      <c r="D622" s="37"/>
      <c r="E622" s="37"/>
      <c r="F622" s="37"/>
      <c r="G622" s="32"/>
      <c r="H622" s="32"/>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row>
    <row r="623" spans="1:46" ht="15">
      <c r="A623" s="37"/>
      <c r="B623" s="15"/>
      <c r="C623" s="37"/>
      <c r="D623" s="37"/>
      <c r="E623" s="37"/>
      <c r="F623" s="37"/>
      <c r="G623" s="32"/>
      <c r="H623" s="32"/>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row>
    <row r="624" spans="1:46" ht="15">
      <c r="A624" s="37"/>
      <c r="B624" s="15"/>
      <c r="C624" s="37"/>
      <c r="D624" s="37"/>
      <c r="E624" s="37"/>
      <c r="F624" s="37"/>
      <c r="G624" s="32"/>
      <c r="H624" s="32"/>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row>
    <row r="625" spans="1:46" ht="15">
      <c r="A625" s="37"/>
      <c r="B625" s="15"/>
      <c r="C625" s="37"/>
      <c r="D625" s="37"/>
      <c r="E625" s="37"/>
      <c r="F625" s="37"/>
      <c r="G625" s="32"/>
      <c r="H625" s="32"/>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row>
    <row r="626" spans="1:46" ht="15">
      <c r="A626" s="37"/>
      <c r="B626" s="15"/>
      <c r="C626" s="37"/>
      <c r="D626" s="37"/>
      <c r="E626" s="37"/>
      <c r="F626" s="37"/>
      <c r="G626" s="32"/>
      <c r="H626" s="32"/>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row>
    <row r="627" spans="1:46" ht="15">
      <c r="A627" s="37"/>
      <c r="B627" s="15"/>
      <c r="C627" s="37"/>
      <c r="D627" s="37"/>
      <c r="E627" s="37"/>
      <c r="F627" s="37"/>
      <c r="G627" s="32"/>
      <c r="H627" s="32"/>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row>
    <row r="628" spans="1:46" ht="15">
      <c r="A628" s="37"/>
      <c r="B628" s="15"/>
      <c r="C628" s="37"/>
      <c r="D628" s="37"/>
      <c r="E628" s="37"/>
      <c r="F628" s="37"/>
      <c r="G628" s="32"/>
      <c r="H628" s="32"/>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row>
    <row r="629" spans="1:46" ht="15">
      <c r="A629" s="37"/>
      <c r="B629" s="15"/>
      <c r="C629" s="37"/>
      <c r="D629" s="37"/>
      <c r="E629" s="37"/>
      <c r="F629" s="37"/>
      <c r="G629" s="32"/>
      <c r="H629" s="32"/>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row>
    <row r="630" spans="1:46" ht="15">
      <c r="A630" s="37"/>
      <c r="B630" s="15"/>
      <c r="C630" s="37"/>
      <c r="D630" s="37"/>
      <c r="E630" s="37"/>
      <c r="F630" s="37"/>
      <c r="G630" s="32"/>
      <c r="H630" s="32"/>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row>
    <row r="631" spans="1:46" ht="15">
      <c r="A631" s="37"/>
      <c r="B631" s="15"/>
      <c r="C631" s="37"/>
      <c r="D631" s="37"/>
      <c r="E631" s="37"/>
      <c r="F631" s="37"/>
      <c r="G631" s="32"/>
      <c r="H631" s="32"/>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row>
    <row r="632" spans="1:46" ht="15">
      <c r="A632" s="37"/>
      <c r="B632" s="15"/>
      <c r="C632" s="37"/>
      <c r="D632" s="37"/>
      <c r="E632" s="37"/>
      <c r="F632" s="37"/>
      <c r="G632" s="32"/>
      <c r="H632" s="32"/>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row>
    <row r="633" spans="1:46" ht="15">
      <c r="A633" s="37"/>
      <c r="B633" s="15"/>
      <c r="C633" s="37"/>
      <c r="D633" s="37"/>
      <c r="E633" s="37"/>
      <c r="F633" s="37"/>
      <c r="G633" s="32"/>
      <c r="H633" s="32"/>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row>
    <row r="634" spans="1:46" ht="15">
      <c r="A634" s="37"/>
      <c r="B634" s="15"/>
      <c r="C634" s="37"/>
      <c r="D634" s="37"/>
      <c r="E634" s="37"/>
      <c r="F634" s="37"/>
      <c r="G634" s="32"/>
      <c r="H634" s="32"/>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row>
    <row r="635" spans="1:46" ht="15">
      <c r="A635" s="37"/>
      <c r="B635" s="15"/>
      <c r="C635" s="37"/>
      <c r="D635" s="37"/>
      <c r="E635" s="37"/>
      <c r="F635" s="37"/>
      <c r="G635" s="32"/>
      <c r="H635" s="32"/>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row>
    <row r="636" spans="1:46" ht="15">
      <c r="A636" s="37"/>
      <c r="B636" s="15"/>
      <c r="C636" s="37"/>
      <c r="D636" s="37"/>
      <c r="E636" s="37"/>
      <c r="F636" s="37"/>
      <c r="G636" s="32"/>
      <c r="H636" s="32"/>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row>
    <row r="637" spans="1:46" ht="15">
      <c r="A637" s="37"/>
      <c r="B637" s="15"/>
      <c r="C637" s="37"/>
      <c r="D637" s="37"/>
      <c r="E637" s="37"/>
      <c r="F637" s="37"/>
      <c r="G637" s="32"/>
      <c r="H637" s="32"/>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row>
    <row r="638" spans="1:46" ht="15">
      <c r="A638" s="37"/>
      <c r="B638" s="15"/>
      <c r="C638" s="37"/>
      <c r="D638" s="37"/>
      <c r="E638" s="37"/>
      <c r="F638" s="37"/>
      <c r="G638" s="32"/>
      <c r="H638" s="32"/>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row>
    <row r="639" spans="1:46" ht="15">
      <c r="A639" s="37"/>
      <c r="B639" s="15"/>
      <c r="C639" s="37"/>
      <c r="D639" s="37"/>
      <c r="E639" s="37"/>
      <c r="F639" s="37"/>
      <c r="G639" s="32"/>
      <c r="H639" s="32"/>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row>
    <row r="640" spans="1:46" ht="15">
      <c r="A640" s="37"/>
      <c r="B640" s="15"/>
      <c r="C640" s="37"/>
      <c r="D640" s="37"/>
      <c r="E640" s="37"/>
      <c r="F640" s="37"/>
      <c r="G640" s="32"/>
      <c r="H640" s="32"/>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row>
    <row r="641" spans="1:46" ht="15">
      <c r="A641" s="37"/>
      <c r="B641" s="15"/>
      <c r="C641" s="37"/>
      <c r="D641" s="37"/>
      <c r="E641" s="37"/>
      <c r="F641" s="37"/>
      <c r="G641" s="32"/>
      <c r="H641" s="32"/>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row>
    <row r="642" spans="1:46" ht="15">
      <c r="A642" s="37"/>
      <c r="B642" s="15"/>
      <c r="C642" s="37"/>
      <c r="D642" s="37"/>
      <c r="E642" s="37"/>
      <c r="F642" s="37"/>
      <c r="G642" s="32"/>
      <c r="H642" s="32"/>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row>
    <row r="643" spans="1:46" ht="15">
      <c r="A643" s="37"/>
      <c r="B643" s="15"/>
      <c r="C643" s="37"/>
      <c r="D643" s="37"/>
      <c r="E643" s="37"/>
      <c r="F643" s="37"/>
      <c r="G643" s="32"/>
      <c r="H643" s="32"/>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row>
    <row r="644" spans="1:46" ht="15">
      <c r="A644" s="37"/>
      <c r="B644" s="15"/>
      <c r="C644" s="37"/>
      <c r="D644" s="37"/>
      <c r="E644" s="37"/>
      <c r="F644" s="37"/>
      <c r="G644" s="32"/>
      <c r="H644" s="32"/>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row>
    <row r="645" spans="1:46" ht="15">
      <c r="A645" s="37"/>
      <c r="B645" s="15"/>
      <c r="C645" s="37"/>
      <c r="D645" s="37"/>
      <c r="E645" s="37"/>
      <c r="F645" s="37"/>
      <c r="G645" s="32"/>
      <c r="H645" s="32"/>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row>
    <row r="646" spans="1:46" ht="15">
      <c r="A646" s="37"/>
      <c r="B646" s="15"/>
      <c r="C646" s="37"/>
      <c r="D646" s="37"/>
      <c r="E646" s="37"/>
      <c r="F646" s="37"/>
      <c r="G646" s="32"/>
      <c r="H646" s="32"/>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row>
    <row r="647" spans="1:46" ht="15">
      <c r="A647" s="37"/>
      <c r="B647" s="15"/>
      <c r="C647" s="37"/>
      <c r="D647" s="37"/>
      <c r="E647" s="37"/>
      <c r="F647" s="37"/>
      <c r="G647" s="32"/>
      <c r="H647" s="32"/>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row>
    <row r="648" spans="1:46" ht="15">
      <c r="A648" s="37"/>
      <c r="B648" s="15"/>
      <c r="C648" s="37"/>
      <c r="D648" s="37"/>
      <c r="E648" s="37"/>
      <c r="F648" s="37"/>
      <c r="G648" s="32"/>
      <c r="H648" s="32"/>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row>
    <row r="649" spans="1:46" ht="15">
      <c r="A649" s="37"/>
      <c r="B649" s="15"/>
      <c r="C649" s="37"/>
      <c r="D649" s="37"/>
      <c r="E649" s="37"/>
      <c r="F649" s="37"/>
      <c r="G649" s="32"/>
      <c r="H649" s="32"/>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row>
    <row r="650" spans="1:46" ht="15">
      <c r="A650" s="37"/>
      <c r="B650" s="15"/>
      <c r="C650" s="37"/>
      <c r="D650" s="37"/>
      <c r="E650" s="37"/>
      <c r="F650" s="37"/>
      <c r="G650" s="32"/>
      <c r="H650" s="32"/>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row>
    <row r="651" spans="1:46" ht="15">
      <c r="A651" s="37"/>
      <c r="B651" s="15"/>
      <c r="C651" s="37"/>
      <c r="D651" s="37"/>
      <c r="E651" s="37"/>
      <c r="F651" s="37"/>
      <c r="G651" s="32"/>
      <c r="H651" s="32"/>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row>
    <row r="652" spans="1:46" ht="15">
      <c r="A652" s="37"/>
      <c r="B652" s="15"/>
      <c r="C652" s="37"/>
      <c r="D652" s="37"/>
      <c r="E652" s="37"/>
      <c r="F652" s="37"/>
      <c r="G652" s="32"/>
      <c r="H652" s="32"/>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row>
    <row r="653" spans="1:46" ht="15">
      <c r="A653" s="37"/>
      <c r="B653" s="15"/>
      <c r="C653" s="37"/>
      <c r="D653" s="37"/>
      <c r="E653" s="37"/>
      <c r="F653" s="37"/>
      <c r="G653" s="32"/>
      <c r="H653" s="32"/>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row>
    <row r="654" spans="1:46" ht="15">
      <c r="A654" s="37"/>
      <c r="B654" s="15"/>
      <c r="C654" s="37"/>
      <c r="D654" s="37"/>
      <c r="E654" s="37"/>
      <c r="F654" s="37"/>
      <c r="G654" s="32"/>
      <c r="H654" s="32"/>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row>
    <row r="655" spans="1:46" ht="15">
      <c r="A655" s="37"/>
      <c r="B655" s="15"/>
      <c r="C655" s="37"/>
      <c r="D655" s="37"/>
      <c r="E655" s="37"/>
      <c r="F655" s="37"/>
      <c r="G655" s="32"/>
      <c r="H655" s="32"/>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row>
    <row r="656" spans="1:46" ht="15">
      <c r="A656" s="37"/>
      <c r="B656" s="15"/>
      <c r="C656" s="37"/>
      <c r="D656" s="37"/>
      <c r="E656" s="37"/>
      <c r="F656" s="37"/>
      <c r="G656" s="32"/>
      <c r="H656" s="32"/>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row>
    <row r="657" spans="1:46" ht="15">
      <c r="A657" s="37"/>
      <c r="B657" s="15"/>
      <c r="C657" s="37"/>
      <c r="D657" s="37"/>
      <c r="E657" s="37"/>
      <c r="F657" s="37"/>
      <c r="G657" s="32"/>
      <c r="H657" s="32"/>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row>
    <row r="658" spans="1:46" ht="15">
      <c r="A658" s="37"/>
      <c r="B658" s="15"/>
      <c r="C658" s="37"/>
      <c r="D658" s="37"/>
      <c r="E658" s="37"/>
      <c r="F658" s="37"/>
      <c r="G658" s="32"/>
      <c r="H658" s="32"/>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row>
    <row r="659" spans="1:46" ht="15">
      <c r="A659" s="37"/>
      <c r="B659" s="15"/>
      <c r="C659" s="37"/>
      <c r="D659" s="37"/>
      <c r="E659" s="37"/>
      <c r="F659" s="37"/>
      <c r="G659" s="32"/>
      <c r="H659" s="32"/>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row>
    <row r="660" spans="1:46" ht="15">
      <c r="A660" s="37"/>
      <c r="B660" s="15"/>
      <c r="C660" s="37"/>
      <c r="D660" s="37"/>
      <c r="E660" s="37"/>
      <c r="F660" s="37"/>
      <c r="G660" s="32"/>
      <c r="H660" s="32"/>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row>
    <row r="661" spans="1:46" ht="15">
      <c r="A661" s="37"/>
      <c r="B661" s="15"/>
      <c r="C661" s="37"/>
      <c r="D661" s="37"/>
      <c r="E661" s="37"/>
      <c r="F661" s="37"/>
      <c r="G661" s="32"/>
      <c r="H661" s="32"/>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row>
    <row r="662" spans="1:46" ht="15">
      <c r="A662" s="37"/>
      <c r="B662" s="15"/>
      <c r="C662" s="37"/>
      <c r="D662" s="37"/>
      <c r="E662" s="37"/>
      <c r="F662" s="37"/>
      <c r="G662" s="32"/>
      <c r="H662" s="32"/>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row>
    <row r="663" spans="1:46" ht="15">
      <c r="A663" s="37"/>
      <c r="B663" s="15"/>
      <c r="C663" s="37"/>
      <c r="D663" s="37"/>
      <c r="E663" s="37"/>
      <c r="F663" s="37"/>
      <c r="G663" s="32"/>
      <c r="H663" s="32"/>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row>
    <row r="664" spans="1:46" ht="15">
      <c r="A664" s="37"/>
      <c r="B664" s="15"/>
      <c r="C664" s="37"/>
      <c r="D664" s="37"/>
      <c r="E664" s="37"/>
      <c r="F664" s="37"/>
      <c r="G664" s="32"/>
      <c r="H664" s="32"/>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row>
    <row r="665" spans="1:46" ht="15">
      <c r="A665" s="37"/>
      <c r="B665" s="15"/>
      <c r="C665" s="37"/>
      <c r="D665" s="37"/>
      <c r="E665" s="37"/>
      <c r="F665" s="37"/>
      <c r="G665" s="32"/>
      <c r="H665" s="32"/>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row>
    <row r="666" spans="1:46" ht="15">
      <c r="A666" s="37"/>
      <c r="B666" s="15"/>
      <c r="C666" s="37"/>
      <c r="D666" s="37"/>
      <c r="E666" s="37"/>
      <c r="F666" s="37"/>
      <c r="G666" s="32"/>
      <c r="H666" s="32"/>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row>
    <row r="667" spans="1:46" ht="15">
      <c r="A667" s="37"/>
      <c r="B667" s="15"/>
      <c r="C667" s="37"/>
      <c r="D667" s="37"/>
      <c r="E667" s="37"/>
      <c r="F667" s="37"/>
      <c r="G667" s="32"/>
      <c r="H667" s="32"/>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row>
    <row r="668" spans="1:46" ht="15">
      <c r="A668" s="37"/>
      <c r="B668" s="15"/>
      <c r="C668" s="37"/>
      <c r="D668" s="37"/>
      <c r="E668" s="37"/>
      <c r="F668" s="37"/>
      <c r="G668" s="32"/>
      <c r="H668" s="32"/>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row>
    <row r="669" spans="1:46" ht="15">
      <c r="A669" s="37"/>
      <c r="B669" s="15"/>
      <c r="C669" s="37"/>
      <c r="D669" s="37"/>
      <c r="E669" s="37"/>
      <c r="F669" s="37"/>
      <c r="G669" s="32"/>
      <c r="H669" s="32"/>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row>
    <row r="670" spans="1:46" ht="15">
      <c r="A670" s="37"/>
      <c r="B670" s="15"/>
      <c r="C670" s="37"/>
      <c r="D670" s="37"/>
      <c r="E670" s="37"/>
      <c r="F670" s="37"/>
      <c r="G670" s="32"/>
      <c r="H670" s="32"/>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row>
    <row r="671" spans="1:46" ht="15">
      <c r="A671" s="37"/>
      <c r="B671" s="15"/>
      <c r="C671" s="37"/>
      <c r="D671" s="37"/>
      <c r="E671" s="37"/>
      <c r="F671" s="37"/>
      <c r="G671" s="32"/>
      <c r="H671" s="32"/>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row>
    <row r="672" spans="1:46" ht="15">
      <c r="A672" s="37"/>
      <c r="B672" s="15"/>
      <c r="C672" s="37"/>
      <c r="D672" s="37"/>
      <c r="E672" s="37"/>
      <c r="F672" s="37"/>
      <c r="G672" s="32"/>
      <c r="H672" s="32"/>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row>
    <row r="673" spans="1:46" ht="15">
      <c r="A673" s="37"/>
      <c r="B673" s="15"/>
      <c r="C673" s="37"/>
      <c r="D673" s="37"/>
      <c r="E673" s="37"/>
      <c r="F673" s="37"/>
      <c r="G673" s="32"/>
      <c r="H673" s="32"/>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row>
    <row r="674" spans="1:46" ht="15">
      <c r="A674" s="37"/>
      <c r="B674" s="15"/>
      <c r="C674" s="37"/>
      <c r="D674" s="37"/>
      <c r="E674" s="37"/>
      <c r="F674" s="37"/>
      <c r="G674" s="32"/>
      <c r="H674" s="32"/>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row>
    <row r="675" spans="1:46" ht="15">
      <c r="A675" s="37"/>
      <c r="B675" s="15"/>
      <c r="C675" s="37"/>
      <c r="D675" s="37"/>
      <c r="E675" s="37"/>
      <c r="F675" s="37"/>
      <c r="G675" s="32"/>
      <c r="H675" s="32"/>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row>
    <row r="676" spans="1:46" ht="15">
      <c r="A676" s="37"/>
      <c r="B676" s="15"/>
      <c r="C676" s="37"/>
      <c r="D676" s="37"/>
      <c r="E676" s="37"/>
      <c r="F676" s="37"/>
      <c r="G676" s="32"/>
      <c r="H676" s="32"/>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row>
    <row r="677" spans="1:46" ht="15">
      <c r="A677" s="37"/>
      <c r="B677" s="15"/>
      <c r="C677" s="37"/>
      <c r="D677" s="37"/>
      <c r="E677" s="37"/>
      <c r="F677" s="37"/>
      <c r="G677" s="32"/>
      <c r="H677" s="32"/>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row>
    <row r="678" spans="1:46" ht="15">
      <c r="A678" s="37"/>
      <c r="B678" s="15"/>
      <c r="C678" s="37"/>
      <c r="D678" s="37"/>
      <c r="E678" s="37"/>
      <c r="F678" s="37"/>
      <c r="G678" s="32"/>
      <c r="H678" s="32"/>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row>
    <row r="679" spans="1:46" ht="15">
      <c r="A679" s="37"/>
      <c r="B679" s="15"/>
      <c r="C679" s="37"/>
      <c r="D679" s="37"/>
      <c r="E679" s="37"/>
      <c r="F679" s="37"/>
      <c r="G679" s="32"/>
      <c r="H679" s="32"/>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row>
    <row r="680" spans="1:46" ht="15">
      <c r="A680" s="37"/>
      <c r="B680" s="15"/>
      <c r="C680" s="37"/>
      <c r="D680" s="37"/>
      <c r="E680" s="37"/>
      <c r="F680" s="37"/>
      <c r="G680" s="32"/>
      <c r="H680" s="32"/>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row>
    <row r="681" spans="1:46" ht="15">
      <c r="A681" s="37"/>
      <c r="B681" s="15"/>
      <c r="C681" s="37"/>
      <c r="D681" s="37"/>
      <c r="E681" s="37"/>
      <c r="F681" s="37"/>
      <c r="G681" s="32"/>
      <c r="H681" s="32"/>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row>
    <row r="682" spans="1:46" ht="15">
      <c r="A682" s="37"/>
      <c r="B682" s="15"/>
      <c r="C682" s="37"/>
      <c r="D682" s="37"/>
      <c r="E682" s="37"/>
      <c r="F682" s="37"/>
      <c r="G682" s="32"/>
      <c r="H682" s="32"/>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row>
    <row r="683" spans="1:46" ht="15">
      <c r="A683" s="37"/>
      <c r="B683" s="15"/>
      <c r="C683" s="37"/>
      <c r="D683" s="37"/>
      <c r="E683" s="37"/>
      <c r="F683" s="37"/>
      <c r="G683" s="32"/>
      <c r="H683" s="32"/>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row>
    <row r="684" spans="1:46" ht="15">
      <c r="A684" s="37"/>
      <c r="B684" s="15"/>
      <c r="C684" s="37"/>
      <c r="D684" s="37"/>
      <c r="E684" s="37"/>
      <c r="F684" s="37"/>
      <c r="G684" s="32"/>
      <c r="H684" s="32"/>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row>
    <row r="685" spans="1:46" ht="15">
      <c r="A685" s="37"/>
      <c r="B685" s="15"/>
      <c r="C685" s="37"/>
      <c r="D685" s="37"/>
      <c r="E685" s="37"/>
      <c r="F685" s="37"/>
      <c r="G685" s="32"/>
      <c r="H685" s="32"/>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row>
    <row r="686" spans="1:46" ht="15">
      <c r="A686" s="37"/>
      <c r="B686" s="15"/>
      <c r="C686" s="37"/>
      <c r="D686" s="37"/>
      <c r="E686" s="37"/>
      <c r="F686" s="37"/>
      <c r="G686" s="32"/>
      <c r="H686" s="32"/>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row>
    <row r="687" spans="1:46" ht="15">
      <c r="A687" s="37"/>
      <c r="B687" s="15"/>
      <c r="C687" s="37"/>
      <c r="D687" s="37"/>
      <c r="E687" s="37"/>
      <c r="F687" s="37"/>
      <c r="G687" s="32"/>
      <c r="H687" s="32"/>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row>
    <row r="688" spans="1:46" ht="15">
      <c r="A688" s="37"/>
      <c r="B688" s="15"/>
      <c r="C688" s="37"/>
      <c r="D688" s="37"/>
      <c r="E688" s="37"/>
      <c r="F688" s="37"/>
      <c r="G688" s="32"/>
      <c r="H688" s="32"/>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row>
    <row r="689" spans="1:46" ht="15">
      <c r="A689" s="37"/>
      <c r="B689" s="15"/>
      <c r="C689" s="37"/>
      <c r="D689" s="37"/>
      <c r="E689" s="37"/>
      <c r="F689" s="37"/>
      <c r="G689" s="32"/>
      <c r="H689" s="32"/>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row>
    <row r="690" spans="1:46" ht="15">
      <c r="A690" s="37"/>
      <c r="B690" s="15"/>
      <c r="C690" s="37"/>
      <c r="D690" s="37"/>
      <c r="E690" s="37"/>
      <c r="F690" s="37"/>
      <c r="G690" s="32"/>
      <c r="H690" s="32"/>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row>
    <row r="691" spans="1:46" ht="15">
      <c r="A691" s="37"/>
      <c r="B691" s="15"/>
      <c r="C691" s="37"/>
      <c r="D691" s="37"/>
      <c r="E691" s="37"/>
      <c r="F691" s="37"/>
      <c r="G691" s="32"/>
      <c r="H691" s="32"/>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row>
    <row r="692" spans="1:46" ht="15">
      <c r="A692" s="37"/>
      <c r="B692" s="15"/>
      <c r="C692" s="37"/>
      <c r="D692" s="37"/>
      <c r="E692" s="37"/>
      <c r="F692" s="37"/>
      <c r="G692" s="32"/>
      <c r="H692" s="32"/>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row>
    <row r="693" spans="1:46" ht="15">
      <c r="A693" s="37"/>
      <c r="B693" s="15"/>
      <c r="C693" s="37"/>
      <c r="D693" s="37"/>
      <c r="E693" s="37"/>
      <c r="F693" s="37"/>
      <c r="G693" s="32"/>
      <c r="H693" s="32"/>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row>
    <row r="694" spans="1:46" ht="15">
      <c r="A694" s="37"/>
      <c r="B694" s="15"/>
      <c r="C694" s="37"/>
      <c r="D694" s="37"/>
      <c r="E694" s="37"/>
      <c r="F694" s="37"/>
      <c r="G694" s="32"/>
      <c r="H694" s="32"/>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row>
    <row r="695" spans="1:46" ht="15">
      <c r="A695" s="37"/>
      <c r="B695" s="15"/>
      <c r="C695" s="37"/>
      <c r="D695" s="37"/>
      <c r="E695" s="37"/>
      <c r="F695" s="37"/>
      <c r="G695" s="32"/>
      <c r="H695" s="32"/>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row>
    <row r="696" spans="1:46" ht="15">
      <c r="A696" s="37"/>
      <c r="B696" s="15"/>
      <c r="C696" s="37"/>
      <c r="D696" s="37"/>
      <c r="E696" s="37"/>
      <c r="F696" s="37"/>
      <c r="G696" s="32"/>
      <c r="H696" s="32"/>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row>
    <row r="697" spans="1:46" ht="15">
      <c r="A697" s="37"/>
      <c r="B697" s="15"/>
      <c r="C697" s="37"/>
      <c r="D697" s="37"/>
      <c r="E697" s="37"/>
      <c r="F697" s="37"/>
      <c r="G697" s="32"/>
      <c r="H697" s="32"/>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row>
    <row r="698" spans="1:46" ht="15">
      <c r="A698" s="37"/>
      <c r="B698" s="15"/>
      <c r="C698" s="37"/>
      <c r="D698" s="37"/>
      <c r="E698" s="37"/>
      <c r="F698" s="37"/>
      <c r="G698" s="32"/>
      <c r="H698" s="32"/>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row>
    <row r="699" spans="1:46" ht="15">
      <c r="A699" s="37"/>
      <c r="B699" s="15"/>
      <c r="C699" s="37"/>
      <c r="D699" s="37"/>
      <c r="E699" s="37"/>
      <c r="F699" s="37"/>
      <c r="G699" s="32"/>
      <c r="H699" s="32"/>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row>
    <row r="700" spans="1:46" ht="15">
      <c r="A700" s="37"/>
      <c r="B700" s="15"/>
      <c r="C700" s="37"/>
      <c r="D700" s="37"/>
      <c r="E700" s="37"/>
      <c r="F700" s="37"/>
      <c r="G700" s="32"/>
      <c r="H700" s="32"/>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row>
    <row r="701" spans="1:46" ht="15">
      <c r="A701" s="37"/>
      <c r="B701" s="15"/>
      <c r="C701" s="37"/>
      <c r="D701" s="37"/>
      <c r="E701" s="37"/>
      <c r="F701" s="37"/>
      <c r="G701" s="32"/>
      <c r="H701" s="32"/>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row>
    <row r="702" spans="1:46" ht="15">
      <c r="A702" s="37"/>
      <c r="B702" s="15"/>
      <c r="C702" s="37"/>
      <c r="D702" s="37"/>
      <c r="E702" s="37"/>
      <c r="F702" s="37"/>
      <c r="G702" s="32"/>
      <c r="H702" s="32"/>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row>
    <row r="703" spans="1:46" ht="15">
      <c r="A703" s="37"/>
      <c r="B703" s="15"/>
      <c r="C703" s="37"/>
      <c r="D703" s="37"/>
      <c r="E703" s="37"/>
      <c r="F703" s="37"/>
      <c r="G703" s="32"/>
      <c r="H703" s="32"/>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row>
    <row r="704" spans="1:46" ht="15">
      <c r="A704" s="37"/>
      <c r="B704" s="15"/>
      <c r="C704" s="37"/>
      <c r="D704" s="37"/>
      <c r="E704" s="37"/>
      <c r="F704" s="37"/>
      <c r="G704" s="32"/>
      <c r="H704" s="32"/>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row>
    <row r="705" spans="1:46" ht="15">
      <c r="A705" s="37"/>
      <c r="B705" s="15"/>
      <c r="C705" s="37"/>
      <c r="D705" s="37"/>
      <c r="E705" s="37"/>
      <c r="F705" s="37"/>
      <c r="G705" s="32"/>
      <c r="H705" s="32"/>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row>
    <row r="706" spans="1:46" ht="15">
      <c r="A706" s="37"/>
      <c r="B706" s="15"/>
      <c r="C706" s="37"/>
      <c r="D706" s="37"/>
      <c r="E706" s="37"/>
      <c r="F706" s="37"/>
      <c r="G706" s="32"/>
      <c r="H706" s="32"/>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row>
    <row r="707" spans="1:46" ht="15">
      <c r="A707" s="37"/>
      <c r="B707" s="15"/>
      <c r="C707" s="37"/>
      <c r="D707" s="37"/>
      <c r="E707" s="37"/>
      <c r="F707" s="37"/>
      <c r="G707" s="32"/>
      <c r="H707" s="32"/>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row>
    <row r="708" spans="1:46" ht="15">
      <c r="A708" s="37"/>
      <c r="B708" s="15"/>
      <c r="C708" s="37"/>
      <c r="D708" s="37"/>
      <c r="E708" s="37"/>
      <c r="F708" s="37"/>
      <c r="G708" s="32"/>
      <c r="H708" s="32"/>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row>
    <row r="709" spans="1:46" ht="15">
      <c r="A709" s="37"/>
      <c r="B709" s="15"/>
      <c r="C709" s="37"/>
      <c r="D709" s="37"/>
      <c r="E709" s="37"/>
      <c r="F709" s="37"/>
      <c r="G709" s="32"/>
      <c r="H709" s="32"/>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row>
    <row r="710" spans="1:46" ht="15">
      <c r="A710" s="37"/>
      <c r="B710" s="15"/>
      <c r="C710" s="37"/>
      <c r="D710" s="37"/>
      <c r="E710" s="37"/>
      <c r="F710" s="37"/>
      <c r="G710" s="32"/>
      <c r="H710" s="32"/>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row>
    <row r="711" spans="1:46" ht="15">
      <c r="A711" s="37"/>
      <c r="B711" s="15"/>
      <c r="C711" s="37"/>
      <c r="D711" s="37"/>
      <c r="E711" s="37"/>
      <c r="F711" s="37"/>
      <c r="G711" s="32"/>
      <c r="H711" s="32"/>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row>
    <row r="712" spans="1:46" ht="15">
      <c r="A712" s="37"/>
      <c r="B712" s="15"/>
      <c r="C712" s="37"/>
      <c r="D712" s="37"/>
      <c r="E712" s="37"/>
      <c r="F712" s="37"/>
      <c r="G712" s="32"/>
      <c r="H712" s="32"/>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row>
    <row r="713" spans="1:46" ht="15">
      <c r="A713" s="37"/>
      <c r="B713" s="15"/>
      <c r="C713" s="37"/>
      <c r="D713" s="37"/>
      <c r="E713" s="37"/>
      <c r="F713" s="37"/>
      <c r="G713" s="32"/>
      <c r="H713" s="32"/>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row>
    <row r="714" spans="1:46" ht="15">
      <c r="A714" s="37"/>
      <c r="B714" s="15"/>
      <c r="C714" s="37"/>
      <c r="D714" s="37"/>
      <c r="E714" s="37"/>
      <c r="F714" s="37"/>
      <c r="G714" s="32"/>
      <c r="H714" s="32"/>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row>
    <row r="715" spans="1:46" ht="15">
      <c r="A715" s="37"/>
      <c r="B715" s="15"/>
      <c r="C715" s="37"/>
      <c r="D715" s="37"/>
      <c r="E715" s="37"/>
      <c r="F715" s="37"/>
      <c r="G715" s="32"/>
      <c r="H715" s="32"/>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row>
    <row r="716" spans="1:46" ht="15">
      <c r="A716" s="37"/>
      <c r="B716" s="15"/>
      <c r="C716" s="37"/>
      <c r="D716" s="37"/>
      <c r="E716" s="37"/>
      <c r="F716" s="37"/>
      <c r="G716" s="32"/>
      <c r="H716" s="32"/>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row>
    <row r="717" spans="1:46" ht="15">
      <c r="A717" s="37"/>
      <c r="B717" s="15"/>
      <c r="C717" s="37"/>
      <c r="D717" s="37"/>
      <c r="E717" s="37"/>
      <c r="F717" s="37"/>
      <c r="G717" s="32"/>
      <c r="H717" s="32"/>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row>
    <row r="718" spans="1:46" ht="15">
      <c r="A718" s="37"/>
      <c r="B718" s="15"/>
      <c r="C718" s="37"/>
      <c r="D718" s="37"/>
      <c r="E718" s="37"/>
      <c r="F718" s="37"/>
      <c r="G718" s="32"/>
      <c r="H718" s="32"/>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row>
    <row r="719" spans="1:46" ht="15">
      <c r="A719" s="37"/>
      <c r="B719" s="15"/>
      <c r="C719" s="37"/>
      <c r="D719" s="37"/>
      <c r="E719" s="37"/>
      <c r="F719" s="37"/>
      <c r="G719" s="32"/>
      <c r="H719" s="32"/>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row>
    <row r="720" spans="1:46" ht="15">
      <c r="A720" s="37"/>
      <c r="B720" s="15"/>
      <c r="C720" s="37"/>
      <c r="D720" s="37"/>
      <c r="E720" s="37"/>
      <c r="F720" s="37"/>
      <c r="G720" s="32"/>
      <c r="H720" s="32"/>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row>
    <row r="721" spans="1:46" ht="15">
      <c r="A721" s="37"/>
      <c r="B721" s="15"/>
      <c r="C721" s="37"/>
      <c r="D721" s="37"/>
      <c r="E721" s="37"/>
      <c r="F721" s="37"/>
      <c r="G721" s="32"/>
      <c r="H721" s="32"/>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row>
    <row r="722" spans="1:46" ht="15">
      <c r="A722" s="37"/>
      <c r="B722" s="15"/>
      <c r="C722" s="37"/>
      <c r="D722" s="37"/>
      <c r="E722" s="37"/>
      <c r="F722" s="37"/>
      <c r="G722" s="32"/>
      <c r="H722" s="32"/>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row>
    <row r="723" spans="1:46" ht="15">
      <c r="A723" s="37"/>
      <c r="B723" s="15"/>
      <c r="C723" s="37"/>
      <c r="D723" s="37"/>
      <c r="E723" s="37"/>
      <c r="F723" s="37"/>
      <c r="G723" s="32"/>
      <c r="H723" s="32"/>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row>
    <row r="724" spans="1:46" ht="15">
      <c r="A724" s="37"/>
      <c r="B724" s="15"/>
      <c r="C724" s="37"/>
      <c r="D724" s="37"/>
      <c r="E724" s="37"/>
      <c r="F724" s="37"/>
      <c r="G724" s="32"/>
      <c r="H724" s="32"/>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row>
    <row r="725" spans="1:46" ht="15">
      <c r="A725" s="37"/>
      <c r="B725" s="15"/>
      <c r="C725" s="37"/>
      <c r="D725" s="37"/>
      <c r="E725" s="37"/>
      <c r="F725" s="37"/>
      <c r="G725" s="32"/>
      <c r="H725" s="32"/>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row>
    <row r="726" spans="1:46" ht="15">
      <c r="A726" s="37"/>
      <c r="B726" s="15"/>
      <c r="C726" s="37"/>
      <c r="D726" s="37"/>
      <c r="E726" s="37"/>
      <c r="F726" s="37"/>
      <c r="G726" s="32"/>
      <c r="H726" s="32"/>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row>
    <row r="727" spans="1:46" ht="15">
      <c r="A727" s="37"/>
      <c r="B727" s="15"/>
      <c r="C727" s="37"/>
      <c r="D727" s="37"/>
      <c r="E727" s="37"/>
      <c r="F727" s="37"/>
      <c r="G727" s="32"/>
      <c r="H727" s="32"/>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row>
    <row r="728" spans="1:46" ht="15">
      <c r="A728" s="37"/>
      <c r="B728" s="15"/>
      <c r="C728" s="37"/>
      <c r="D728" s="37"/>
      <c r="E728" s="37"/>
      <c r="F728" s="37"/>
      <c r="G728" s="32"/>
      <c r="H728" s="32"/>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row>
    <row r="729" spans="1:46" ht="15">
      <c r="A729" s="37"/>
      <c r="B729" s="15"/>
      <c r="C729" s="37"/>
      <c r="D729" s="37"/>
      <c r="E729" s="37"/>
      <c r="F729" s="37"/>
      <c r="G729" s="32"/>
      <c r="H729" s="32"/>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row>
    <row r="730" spans="1:46" ht="15">
      <c r="A730" s="37"/>
      <c r="B730" s="15"/>
      <c r="C730" s="37"/>
      <c r="D730" s="37"/>
      <c r="E730" s="37"/>
      <c r="F730" s="37"/>
      <c r="G730" s="32"/>
      <c r="H730" s="32"/>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row>
    <row r="731" spans="1:46" ht="15">
      <c r="A731" s="37"/>
      <c r="B731" s="15"/>
      <c r="C731" s="37"/>
      <c r="D731" s="37"/>
      <c r="E731" s="37"/>
      <c r="F731" s="37"/>
      <c r="G731" s="32"/>
      <c r="H731" s="32"/>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row>
    <row r="732" spans="1:46" ht="15">
      <c r="A732" s="37"/>
      <c r="B732" s="15"/>
      <c r="C732" s="37"/>
      <c r="D732" s="37"/>
      <c r="E732" s="37"/>
      <c r="F732" s="37"/>
      <c r="G732" s="32"/>
      <c r="H732" s="32"/>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row>
    <row r="733" spans="1:46" ht="15">
      <c r="A733" s="37"/>
      <c r="B733" s="15"/>
      <c r="C733" s="37"/>
      <c r="D733" s="37"/>
      <c r="E733" s="37"/>
      <c r="F733" s="37"/>
      <c r="G733" s="32"/>
      <c r="H733" s="32"/>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row>
    <row r="734" spans="1:46" ht="15">
      <c r="A734" s="37"/>
      <c r="B734" s="15"/>
      <c r="C734" s="37"/>
      <c r="D734" s="37"/>
      <c r="E734" s="37"/>
      <c r="F734" s="37"/>
      <c r="G734" s="32"/>
      <c r="H734" s="32"/>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row>
    <row r="735" spans="1:46" ht="15">
      <c r="A735" s="37"/>
      <c r="B735" s="15"/>
      <c r="C735" s="37"/>
      <c r="D735" s="37"/>
      <c r="E735" s="37"/>
      <c r="F735" s="37"/>
      <c r="G735" s="32"/>
      <c r="H735" s="32"/>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row>
    <row r="736" spans="1:46" ht="15">
      <c r="A736" s="37"/>
      <c r="B736" s="15"/>
      <c r="C736" s="37"/>
      <c r="D736" s="37"/>
      <c r="E736" s="37"/>
      <c r="F736" s="37"/>
      <c r="G736" s="32"/>
      <c r="H736" s="32"/>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row>
    <row r="737" spans="1:46" ht="15">
      <c r="A737" s="37"/>
      <c r="B737" s="15"/>
      <c r="C737" s="37"/>
      <c r="D737" s="37"/>
      <c r="E737" s="37"/>
      <c r="F737" s="37"/>
      <c r="G737" s="32"/>
      <c r="H737" s="32"/>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row>
    <row r="738" spans="1:46" ht="15">
      <c r="A738" s="37"/>
      <c r="B738" s="15"/>
      <c r="C738" s="37"/>
      <c r="D738" s="37"/>
      <c r="E738" s="37"/>
      <c r="F738" s="37"/>
      <c r="G738" s="32"/>
      <c r="H738" s="32"/>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row>
    <row r="739" spans="1:46" ht="15">
      <c r="A739" s="37"/>
      <c r="B739" s="15"/>
      <c r="C739" s="37"/>
      <c r="D739" s="37"/>
      <c r="E739" s="37"/>
      <c r="F739" s="37"/>
      <c r="G739" s="32"/>
      <c r="H739" s="32"/>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row>
    <row r="740" spans="1:46" ht="15">
      <c r="A740" s="37"/>
      <c r="B740" s="15"/>
      <c r="C740" s="37"/>
      <c r="D740" s="37"/>
      <c r="E740" s="37"/>
      <c r="F740" s="37"/>
      <c r="G740" s="32"/>
      <c r="H740" s="32"/>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row>
    <row r="741" spans="1:46" ht="15">
      <c r="A741" s="37"/>
      <c r="B741" s="15"/>
      <c r="C741" s="37"/>
      <c r="D741" s="37"/>
      <c r="E741" s="37"/>
      <c r="F741" s="37"/>
      <c r="G741" s="32"/>
      <c r="H741" s="32"/>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row>
    <row r="742" spans="1:46" ht="15">
      <c r="A742" s="37"/>
      <c r="B742" s="15"/>
      <c r="C742" s="37"/>
      <c r="D742" s="37"/>
      <c r="E742" s="37"/>
      <c r="F742" s="37"/>
      <c r="G742" s="32"/>
      <c r="H742" s="32"/>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row>
    <row r="743" spans="1:46" ht="15">
      <c r="A743" s="37"/>
      <c r="B743" s="15"/>
      <c r="C743" s="37"/>
      <c r="D743" s="37"/>
      <c r="E743" s="37"/>
      <c r="F743" s="37"/>
      <c r="G743" s="32"/>
      <c r="H743" s="32"/>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row>
    <row r="744" spans="1:46" ht="15">
      <c r="A744" s="37"/>
      <c r="B744" s="15"/>
      <c r="C744" s="37"/>
      <c r="D744" s="37"/>
      <c r="E744" s="37"/>
      <c r="F744" s="37"/>
      <c r="G744" s="32"/>
      <c r="H744" s="32"/>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row>
    <row r="745" spans="1:46" ht="15">
      <c r="A745" s="37"/>
      <c r="B745" s="15"/>
      <c r="C745" s="37"/>
      <c r="D745" s="37"/>
      <c r="E745" s="37"/>
      <c r="F745" s="37"/>
      <c r="G745" s="32"/>
      <c r="H745" s="32"/>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row>
    <row r="746" spans="1:46" ht="15">
      <c r="A746" s="37"/>
      <c r="B746" s="15"/>
      <c r="C746" s="37"/>
      <c r="D746" s="37"/>
      <c r="E746" s="37"/>
      <c r="F746" s="37"/>
      <c r="G746" s="32"/>
      <c r="H746" s="32"/>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row>
    <row r="747" spans="1:46" ht="15">
      <c r="A747" s="37"/>
      <c r="B747" s="15"/>
      <c r="C747" s="37"/>
      <c r="D747" s="37"/>
      <c r="E747" s="37"/>
      <c r="F747" s="37"/>
      <c r="G747" s="32"/>
      <c r="H747" s="32"/>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row>
    <row r="748" spans="1:46" ht="15">
      <c r="A748" s="37"/>
      <c r="B748" s="15"/>
      <c r="C748" s="37"/>
      <c r="D748" s="37"/>
      <c r="E748" s="37"/>
      <c r="F748" s="37"/>
      <c r="G748" s="32"/>
      <c r="H748" s="32"/>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row>
    <row r="749" spans="1:46" ht="15">
      <c r="A749" s="37"/>
      <c r="B749" s="15"/>
      <c r="C749" s="37"/>
      <c r="D749" s="37"/>
      <c r="E749" s="37"/>
      <c r="F749" s="37"/>
      <c r="G749" s="32"/>
      <c r="H749" s="32"/>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row>
    <row r="750" spans="1:46" ht="15">
      <c r="A750" s="37"/>
      <c r="B750" s="15"/>
      <c r="C750" s="37"/>
      <c r="D750" s="37"/>
      <c r="E750" s="37"/>
      <c r="F750" s="37"/>
      <c r="G750" s="32"/>
      <c r="H750" s="32"/>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row>
    <row r="751" spans="1:46" ht="15">
      <c r="A751" s="37"/>
      <c r="B751" s="15"/>
      <c r="C751" s="37"/>
      <c r="D751" s="37"/>
      <c r="E751" s="37"/>
      <c r="F751" s="37"/>
      <c r="G751" s="32"/>
      <c r="H751" s="32"/>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row>
    <row r="752" spans="1:46" ht="15">
      <c r="A752" s="37"/>
      <c r="B752" s="15"/>
      <c r="C752" s="37"/>
      <c r="D752" s="37"/>
      <c r="E752" s="37"/>
      <c r="F752" s="37"/>
      <c r="G752" s="32"/>
      <c r="H752" s="32"/>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row>
    <row r="753" spans="1:46" ht="15">
      <c r="A753" s="37"/>
      <c r="B753" s="15"/>
      <c r="C753" s="37"/>
      <c r="D753" s="37"/>
      <c r="E753" s="37"/>
      <c r="F753" s="37"/>
      <c r="G753" s="32"/>
      <c r="H753" s="32"/>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row>
    <row r="754" spans="1:46" ht="15">
      <c r="A754" s="37"/>
      <c r="B754" s="15"/>
      <c r="C754" s="37"/>
      <c r="D754" s="37"/>
      <c r="E754" s="37"/>
      <c r="F754" s="37"/>
      <c r="G754" s="32"/>
      <c r="H754" s="32"/>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row>
    <row r="755" spans="1:46" ht="15">
      <c r="A755" s="37"/>
      <c r="B755" s="15"/>
      <c r="C755" s="37"/>
      <c r="D755" s="37"/>
      <c r="E755" s="37"/>
      <c r="F755" s="37"/>
      <c r="G755" s="32"/>
      <c r="H755" s="32"/>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row>
    <row r="756" spans="1:46" ht="15">
      <c r="A756" s="37"/>
      <c r="B756" s="15"/>
      <c r="C756" s="37"/>
      <c r="D756" s="37"/>
      <c r="E756" s="37"/>
      <c r="F756" s="37"/>
      <c r="G756" s="32"/>
      <c r="H756" s="32"/>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row>
    <row r="757" spans="1:46" ht="15">
      <c r="A757" s="37"/>
      <c r="B757" s="15"/>
      <c r="C757" s="37"/>
      <c r="D757" s="37"/>
      <c r="E757" s="37"/>
      <c r="F757" s="37"/>
      <c r="G757" s="32"/>
      <c r="H757" s="32"/>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row>
    <row r="758" spans="1:46" ht="15">
      <c r="A758" s="37"/>
      <c r="B758" s="15"/>
      <c r="C758" s="37"/>
      <c r="D758" s="37"/>
      <c r="E758" s="37"/>
      <c r="F758" s="37"/>
      <c r="G758" s="32"/>
      <c r="H758" s="32"/>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row>
    <row r="759" spans="1:46" ht="15">
      <c r="A759" s="37"/>
      <c r="B759" s="15"/>
      <c r="C759" s="37"/>
      <c r="D759" s="37"/>
      <c r="E759" s="37"/>
      <c r="F759" s="37"/>
      <c r="G759" s="32"/>
      <c r="H759" s="32"/>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row>
    <row r="760" spans="1:46" ht="15">
      <c r="A760" s="37"/>
      <c r="B760" s="15"/>
      <c r="C760" s="37"/>
      <c r="D760" s="37"/>
      <c r="E760" s="37"/>
      <c r="F760" s="37"/>
      <c r="G760" s="32"/>
      <c r="H760" s="32"/>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row>
    <row r="761" spans="1:46" ht="15">
      <c r="A761" s="37"/>
      <c r="B761" s="15"/>
      <c r="C761" s="37"/>
      <c r="D761" s="37"/>
      <c r="E761" s="37"/>
      <c r="F761" s="37"/>
      <c r="G761" s="32"/>
      <c r="H761" s="32"/>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row>
    <row r="762" spans="1:46" ht="15">
      <c r="A762" s="37"/>
      <c r="B762" s="15"/>
      <c r="C762" s="37"/>
      <c r="D762" s="37"/>
      <c r="E762" s="37"/>
      <c r="F762" s="37"/>
      <c r="G762" s="32"/>
      <c r="H762" s="32"/>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row>
    <row r="763" spans="1:46" ht="15">
      <c r="A763" s="37"/>
      <c r="B763" s="15"/>
      <c r="C763" s="37"/>
      <c r="D763" s="37"/>
      <c r="E763" s="37"/>
      <c r="F763" s="37"/>
      <c r="G763" s="32"/>
      <c r="H763" s="32"/>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row>
    <row r="764" spans="1:46" ht="15">
      <c r="A764" s="37"/>
      <c r="B764" s="15"/>
      <c r="C764" s="37"/>
      <c r="D764" s="37"/>
      <c r="E764" s="37"/>
      <c r="F764" s="37"/>
      <c r="G764" s="32"/>
      <c r="H764" s="32"/>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row>
    <row r="765" spans="1:46" ht="15">
      <c r="A765" s="37"/>
      <c r="B765" s="15"/>
      <c r="C765" s="37"/>
      <c r="D765" s="37"/>
      <c r="E765" s="37"/>
      <c r="F765" s="37"/>
      <c r="G765" s="32"/>
      <c r="H765" s="32"/>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row>
    <row r="766" spans="1:46" ht="15">
      <c r="A766" s="37"/>
      <c r="B766" s="15"/>
      <c r="C766" s="37"/>
      <c r="D766" s="37"/>
      <c r="E766" s="37"/>
      <c r="F766" s="37"/>
      <c r="G766" s="32"/>
      <c r="H766" s="32"/>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row>
    <row r="767" spans="1:46" ht="15">
      <c r="A767" s="37"/>
      <c r="B767" s="15"/>
      <c r="C767" s="37"/>
      <c r="D767" s="37"/>
      <c r="E767" s="37"/>
      <c r="F767" s="37"/>
      <c r="G767" s="32"/>
      <c r="H767" s="32"/>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row>
    <row r="768" spans="1:46" ht="15">
      <c r="A768" s="37"/>
      <c r="B768" s="15"/>
      <c r="C768" s="37"/>
      <c r="D768" s="37"/>
      <c r="E768" s="37"/>
      <c r="F768" s="37"/>
      <c r="G768" s="32"/>
      <c r="H768" s="32"/>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row>
    <row r="769" spans="1:46" ht="15">
      <c r="A769" s="37"/>
      <c r="B769" s="15"/>
      <c r="C769" s="37"/>
      <c r="D769" s="37"/>
      <c r="E769" s="37"/>
      <c r="F769" s="37"/>
      <c r="G769" s="32"/>
      <c r="H769" s="32"/>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row>
    <row r="770" spans="1:46" ht="15">
      <c r="A770" s="37"/>
      <c r="B770" s="15"/>
      <c r="C770" s="37"/>
      <c r="D770" s="37"/>
      <c r="E770" s="37"/>
      <c r="F770" s="37"/>
      <c r="G770" s="32"/>
      <c r="H770" s="32"/>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row>
    <row r="771" spans="1:46" ht="15">
      <c r="A771" s="37"/>
      <c r="B771" s="15"/>
      <c r="C771" s="37"/>
      <c r="D771" s="37"/>
      <c r="E771" s="37"/>
      <c r="F771" s="37"/>
      <c r="G771" s="32"/>
      <c r="H771" s="32"/>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row>
    <row r="772" spans="1:46" ht="15">
      <c r="A772" s="37"/>
      <c r="B772" s="15"/>
      <c r="C772" s="37"/>
      <c r="D772" s="37"/>
      <c r="E772" s="37"/>
      <c r="F772" s="37"/>
      <c r="G772" s="32"/>
      <c r="H772" s="32"/>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row>
    <row r="773" spans="1:46" ht="15">
      <c r="A773" s="37"/>
      <c r="B773" s="15"/>
      <c r="C773" s="37"/>
      <c r="D773" s="37"/>
      <c r="E773" s="37"/>
      <c r="F773" s="37"/>
      <c r="G773" s="32"/>
      <c r="H773" s="32"/>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row>
    <row r="774" spans="1:46" ht="15">
      <c r="A774" s="37"/>
      <c r="B774" s="15"/>
      <c r="C774" s="37"/>
      <c r="D774" s="37"/>
      <c r="E774" s="37"/>
      <c r="F774" s="37"/>
      <c r="G774" s="32"/>
      <c r="H774" s="32"/>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row>
    <row r="775" spans="1:46" ht="15">
      <c r="A775" s="37"/>
      <c r="B775" s="15"/>
      <c r="C775" s="37"/>
      <c r="D775" s="37"/>
      <c r="E775" s="37"/>
      <c r="F775" s="37"/>
      <c r="G775" s="32"/>
      <c r="H775" s="32"/>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row>
    <row r="776" spans="1:46" ht="15">
      <c r="A776" s="37"/>
      <c r="B776" s="15"/>
      <c r="C776" s="37"/>
      <c r="D776" s="37"/>
      <c r="E776" s="37"/>
      <c r="F776" s="37"/>
      <c r="G776" s="32"/>
      <c r="H776" s="32"/>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row>
    <row r="777" spans="1:46" ht="15">
      <c r="A777" s="37"/>
      <c r="B777" s="15"/>
      <c r="C777" s="37"/>
      <c r="D777" s="37"/>
      <c r="E777" s="37"/>
      <c r="F777" s="37"/>
      <c r="G777" s="32"/>
      <c r="H777" s="32"/>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row>
    <row r="778" spans="1:46" ht="15">
      <c r="A778" s="37"/>
      <c r="B778" s="15"/>
      <c r="C778" s="37"/>
      <c r="D778" s="37"/>
      <c r="E778" s="37"/>
      <c r="F778" s="37"/>
      <c r="G778" s="32"/>
      <c r="H778" s="32"/>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row>
    <row r="779" spans="1:46" ht="15">
      <c r="A779" s="37"/>
      <c r="B779" s="15"/>
      <c r="C779" s="37"/>
      <c r="D779" s="37"/>
      <c r="E779" s="37"/>
      <c r="F779" s="37"/>
      <c r="G779" s="32"/>
      <c r="H779" s="32"/>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row>
    <row r="780" spans="1:46" ht="15">
      <c r="A780" s="37"/>
      <c r="B780" s="15"/>
      <c r="C780" s="37"/>
      <c r="D780" s="37"/>
      <c r="E780" s="37"/>
      <c r="F780" s="37"/>
      <c r="G780" s="32"/>
      <c r="H780" s="32"/>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row>
    <row r="781" spans="1:46" ht="15">
      <c r="A781" s="37"/>
      <c r="B781" s="15"/>
      <c r="C781" s="37"/>
      <c r="D781" s="37"/>
      <c r="E781" s="37"/>
      <c r="F781" s="37"/>
      <c r="G781" s="32"/>
      <c r="H781" s="32"/>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row>
    <row r="782" spans="1:46" ht="15">
      <c r="A782" s="37"/>
      <c r="B782" s="15"/>
      <c r="C782" s="37"/>
      <c r="D782" s="37"/>
      <c r="E782" s="37"/>
      <c r="F782" s="37"/>
      <c r="G782" s="32"/>
      <c r="H782" s="32"/>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row>
    <row r="783" spans="1:46" ht="15">
      <c r="A783" s="37"/>
      <c r="B783" s="15"/>
      <c r="C783" s="37"/>
      <c r="D783" s="37"/>
      <c r="E783" s="37"/>
      <c r="F783" s="37"/>
      <c r="G783" s="32"/>
      <c r="H783" s="32"/>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row>
    <row r="784" spans="1:46" ht="15">
      <c r="A784" s="37"/>
      <c r="B784" s="15"/>
      <c r="C784" s="37"/>
      <c r="D784" s="37"/>
      <c r="E784" s="37"/>
      <c r="F784" s="37"/>
      <c r="G784" s="32"/>
      <c r="H784" s="32"/>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row>
    <row r="785" spans="1:46" ht="15">
      <c r="A785" s="37"/>
      <c r="B785" s="15"/>
      <c r="C785" s="37"/>
      <c r="D785" s="37"/>
      <c r="E785" s="37"/>
      <c r="F785" s="37"/>
      <c r="G785" s="32"/>
      <c r="H785" s="32"/>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row>
    <row r="786" spans="1:46" ht="15">
      <c r="A786" s="37"/>
      <c r="B786" s="15"/>
      <c r="C786" s="37"/>
      <c r="D786" s="37"/>
      <c r="E786" s="37"/>
      <c r="F786" s="37"/>
      <c r="G786" s="32"/>
      <c r="H786" s="32"/>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row>
    <row r="787" spans="1:46" ht="15">
      <c r="A787" s="37"/>
      <c r="B787" s="15"/>
      <c r="C787" s="37"/>
      <c r="D787" s="37"/>
      <c r="E787" s="37"/>
      <c r="F787" s="37"/>
      <c r="G787" s="32"/>
      <c r="H787" s="32"/>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row>
    <row r="788" spans="1:46" ht="15">
      <c r="A788" s="37"/>
      <c r="B788" s="15"/>
      <c r="C788" s="37"/>
      <c r="D788" s="37"/>
      <c r="E788" s="37"/>
      <c r="F788" s="37"/>
      <c r="G788" s="32"/>
      <c r="H788" s="32"/>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row>
    <row r="789" spans="1:46" ht="15">
      <c r="A789" s="37"/>
      <c r="B789" s="15"/>
      <c r="C789" s="37"/>
      <c r="D789" s="37"/>
      <c r="E789" s="37"/>
      <c r="F789" s="37"/>
      <c r="G789" s="32"/>
      <c r="H789" s="32"/>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row>
    <row r="790" spans="1:46" ht="15">
      <c r="A790" s="37"/>
      <c r="B790" s="15"/>
      <c r="C790" s="37"/>
      <c r="D790" s="37"/>
      <c r="E790" s="37"/>
      <c r="F790" s="37"/>
      <c r="G790" s="32"/>
      <c r="H790" s="32"/>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row>
    <row r="791" spans="1:46" ht="15">
      <c r="A791" s="37"/>
      <c r="B791" s="15"/>
      <c r="C791" s="37"/>
      <c r="D791" s="37"/>
      <c r="E791" s="37"/>
      <c r="F791" s="37"/>
      <c r="G791" s="32"/>
      <c r="H791" s="32"/>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row>
    <row r="792" spans="1:46" ht="15">
      <c r="A792" s="37"/>
      <c r="B792" s="15"/>
      <c r="C792" s="37"/>
      <c r="D792" s="37"/>
      <c r="E792" s="37"/>
      <c r="F792" s="37"/>
      <c r="G792" s="32"/>
      <c r="H792" s="32"/>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row>
    <row r="793" spans="1:46" ht="15">
      <c r="A793" s="37"/>
      <c r="B793" s="15"/>
      <c r="C793" s="37"/>
      <c r="D793" s="37"/>
      <c r="E793" s="37"/>
      <c r="F793" s="37"/>
      <c r="G793" s="32"/>
      <c r="H793" s="32"/>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row>
    <row r="794" spans="1:46" ht="15">
      <c r="A794" s="37"/>
      <c r="B794" s="15"/>
      <c r="C794" s="37"/>
      <c r="D794" s="37"/>
      <c r="E794" s="37"/>
      <c r="F794" s="37"/>
      <c r="G794" s="32"/>
      <c r="H794" s="32"/>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row>
    <row r="795" spans="1:46" ht="15">
      <c r="A795" s="37"/>
      <c r="B795" s="15"/>
      <c r="C795" s="37"/>
      <c r="D795" s="37"/>
      <c r="E795" s="37"/>
      <c r="F795" s="37"/>
      <c r="G795" s="32"/>
      <c r="H795" s="32"/>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row>
    <row r="796" spans="1:46" ht="15">
      <c r="A796" s="37"/>
      <c r="B796" s="15"/>
      <c r="C796" s="37"/>
      <c r="D796" s="37"/>
      <c r="E796" s="37"/>
      <c r="F796" s="37"/>
      <c r="G796" s="32"/>
      <c r="H796" s="32"/>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row>
    <row r="797" spans="1:46" ht="15">
      <c r="A797" s="37"/>
      <c r="B797" s="15"/>
      <c r="C797" s="37"/>
      <c r="D797" s="37"/>
      <c r="E797" s="37"/>
      <c r="F797" s="37"/>
      <c r="G797" s="32"/>
      <c r="H797" s="32"/>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row>
    <row r="798" spans="1:46" ht="15">
      <c r="A798" s="37"/>
      <c r="B798" s="15"/>
      <c r="C798" s="37"/>
      <c r="D798" s="37"/>
      <c r="E798" s="37"/>
      <c r="F798" s="37"/>
      <c r="G798" s="32"/>
      <c r="H798" s="32"/>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row>
    <row r="799" spans="1:46" ht="15">
      <c r="A799" s="37"/>
      <c r="B799" s="15"/>
      <c r="C799" s="37"/>
      <c r="D799" s="37"/>
      <c r="E799" s="37"/>
      <c r="F799" s="37"/>
      <c r="G799" s="32"/>
      <c r="H799" s="32"/>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row>
    <row r="800" spans="1:46" ht="15">
      <c r="A800" s="37"/>
      <c r="B800" s="15"/>
      <c r="C800" s="37"/>
      <c r="D800" s="37"/>
      <c r="E800" s="37"/>
      <c r="F800" s="37"/>
      <c r="G800" s="32"/>
      <c r="H800" s="32"/>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row>
    <row r="801" spans="1:46" ht="15">
      <c r="A801" s="37"/>
      <c r="B801" s="15"/>
      <c r="C801" s="37"/>
      <c r="D801" s="37"/>
      <c r="E801" s="37"/>
      <c r="F801" s="37"/>
      <c r="G801" s="32"/>
      <c r="H801" s="32"/>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row>
    <row r="802" spans="1:46" ht="15">
      <c r="A802" s="37"/>
      <c r="B802" s="15"/>
      <c r="C802" s="37"/>
      <c r="D802" s="37"/>
      <c r="E802" s="37"/>
      <c r="F802" s="37"/>
      <c r="G802" s="32"/>
      <c r="H802" s="32"/>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row>
    <row r="803" spans="1:46" ht="15">
      <c r="A803" s="37"/>
      <c r="B803" s="15"/>
      <c r="C803" s="37"/>
      <c r="D803" s="37"/>
      <c r="E803" s="37"/>
      <c r="F803" s="37"/>
      <c r="G803" s="32"/>
      <c r="H803" s="32"/>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row>
    <row r="804" spans="1:46" ht="15">
      <c r="A804" s="37"/>
      <c r="B804" s="15"/>
      <c r="C804" s="37"/>
      <c r="D804" s="37"/>
      <c r="E804" s="37"/>
      <c r="F804" s="37"/>
      <c r="G804" s="32"/>
      <c r="H804" s="32"/>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row>
    <row r="805" spans="1:46" ht="15">
      <c r="A805" s="37"/>
      <c r="B805" s="15"/>
      <c r="C805" s="37"/>
      <c r="D805" s="37"/>
      <c r="E805" s="37"/>
      <c r="F805" s="37"/>
      <c r="G805" s="32"/>
      <c r="H805" s="32"/>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row>
    <row r="806" spans="1:46" ht="15">
      <c r="A806" s="37"/>
      <c r="B806" s="15"/>
      <c r="C806" s="37"/>
      <c r="D806" s="37"/>
      <c r="E806" s="37"/>
      <c r="F806" s="37"/>
      <c r="G806" s="32"/>
      <c r="H806" s="32"/>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row>
    <row r="807" spans="1:46" ht="15">
      <c r="A807" s="37"/>
      <c r="B807" s="15"/>
      <c r="C807" s="37"/>
      <c r="D807" s="37"/>
      <c r="E807" s="37"/>
      <c r="F807" s="37"/>
      <c r="G807" s="32"/>
      <c r="H807" s="32"/>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row>
    <row r="808" spans="1:46" ht="15">
      <c r="A808" s="37"/>
      <c r="B808" s="15"/>
      <c r="C808" s="37"/>
      <c r="D808" s="37"/>
      <c r="E808" s="37"/>
      <c r="F808" s="37"/>
      <c r="G808" s="32"/>
      <c r="H808" s="32"/>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row>
    <row r="809" spans="1:46" ht="15">
      <c r="A809" s="37"/>
      <c r="B809" s="15"/>
      <c r="C809" s="37"/>
      <c r="D809" s="37"/>
      <c r="E809" s="37"/>
      <c r="F809" s="37"/>
      <c r="G809" s="32"/>
      <c r="H809" s="32"/>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row>
    <row r="810" spans="1:46" ht="15">
      <c r="A810" s="37"/>
      <c r="B810" s="15"/>
      <c r="C810" s="37"/>
      <c r="D810" s="37"/>
      <c r="E810" s="37"/>
      <c r="F810" s="37"/>
      <c r="G810" s="32"/>
      <c r="H810" s="32"/>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row>
    <row r="811" spans="1:46" ht="15">
      <c r="A811" s="37"/>
      <c r="B811" s="15"/>
      <c r="C811" s="37"/>
      <c r="D811" s="37"/>
      <c r="E811" s="37"/>
      <c r="F811" s="37"/>
      <c r="G811" s="32"/>
      <c r="H811" s="32"/>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row>
    <row r="812" spans="1:46" ht="15">
      <c r="A812" s="37"/>
      <c r="B812" s="15"/>
      <c r="C812" s="37"/>
      <c r="D812" s="37"/>
      <c r="E812" s="37"/>
      <c r="F812" s="37"/>
      <c r="G812" s="32"/>
      <c r="H812" s="32"/>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row>
    <row r="813" spans="1:46" ht="15">
      <c r="A813" s="37"/>
      <c r="B813" s="15"/>
      <c r="C813" s="37"/>
      <c r="D813" s="37"/>
      <c r="E813" s="37"/>
      <c r="F813" s="37"/>
      <c r="G813" s="32"/>
      <c r="H813" s="32"/>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row>
    <row r="814" spans="1:46" ht="15">
      <c r="A814" s="37"/>
      <c r="B814" s="15"/>
      <c r="C814" s="37"/>
      <c r="D814" s="37"/>
      <c r="E814" s="37"/>
      <c r="F814" s="37"/>
      <c r="G814" s="32"/>
      <c r="H814" s="32"/>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row>
    <row r="815" spans="1:46" ht="15">
      <c r="A815" s="37"/>
      <c r="B815" s="15"/>
      <c r="C815" s="37"/>
      <c r="D815" s="37"/>
      <c r="E815" s="37"/>
      <c r="F815" s="37"/>
      <c r="G815" s="32"/>
      <c r="H815" s="32"/>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row>
    <row r="816" spans="1:46" ht="15">
      <c r="A816" s="37"/>
      <c r="B816" s="15"/>
      <c r="C816" s="37"/>
      <c r="D816" s="37"/>
      <c r="E816" s="37"/>
      <c r="F816" s="37"/>
      <c r="G816" s="32"/>
      <c r="H816" s="32"/>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row>
    <row r="817" spans="1:46" ht="15">
      <c r="A817" s="37"/>
      <c r="B817" s="15"/>
      <c r="C817" s="37"/>
      <c r="D817" s="37"/>
      <c r="E817" s="37"/>
      <c r="F817" s="37"/>
      <c r="G817" s="32"/>
      <c r="H817" s="32"/>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row>
    <row r="818" spans="1:46" ht="15">
      <c r="A818" s="37"/>
      <c r="B818" s="15"/>
      <c r="C818" s="37"/>
      <c r="D818" s="37"/>
      <c r="E818" s="37"/>
      <c r="F818" s="37"/>
      <c r="G818" s="32"/>
      <c r="H818" s="32"/>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row>
    <row r="819" spans="1:46" ht="15">
      <c r="A819" s="37"/>
      <c r="B819" s="15"/>
      <c r="C819" s="37"/>
      <c r="D819" s="37"/>
      <c r="E819" s="37"/>
      <c r="F819" s="37"/>
      <c r="G819" s="32"/>
      <c r="H819" s="32"/>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row>
    <row r="820" spans="1:46" ht="15">
      <c r="A820" s="37"/>
      <c r="B820" s="15"/>
      <c r="C820" s="37"/>
      <c r="D820" s="37"/>
      <c r="E820" s="37"/>
      <c r="F820" s="37"/>
      <c r="G820" s="32"/>
      <c r="H820" s="32"/>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row>
    <row r="821" spans="1:46" ht="15">
      <c r="A821" s="37"/>
      <c r="B821" s="15"/>
      <c r="C821" s="37"/>
      <c r="D821" s="37"/>
      <c r="E821" s="37"/>
      <c r="F821" s="37"/>
      <c r="G821" s="32"/>
      <c r="H821" s="32"/>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row>
    <row r="822" spans="1:46" ht="15">
      <c r="A822" s="37"/>
      <c r="B822" s="15"/>
      <c r="C822" s="37"/>
      <c r="D822" s="37"/>
      <c r="E822" s="37"/>
      <c r="F822" s="37"/>
      <c r="G822" s="32"/>
      <c r="H822" s="32"/>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row>
    <row r="823" spans="1:46" ht="15">
      <c r="A823" s="37"/>
      <c r="B823" s="15"/>
      <c r="C823" s="37"/>
      <c r="D823" s="37"/>
      <c r="E823" s="37"/>
      <c r="F823" s="37"/>
      <c r="G823" s="32"/>
      <c r="H823" s="32"/>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row>
    <row r="824" spans="1:46" ht="15">
      <c r="A824" s="37"/>
      <c r="B824" s="15"/>
      <c r="C824" s="37"/>
      <c r="D824" s="37"/>
      <c r="E824" s="37"/>
      <c r="F824" s="37"/>
      <c r="G824" s="32"/>
      <c r="H824" s="32"/>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row>
    <row r="825" spans="1:46" ht="15">
      <c r="A825" s="37"/>
      <c r="B825" s="15"/>
      <c r="C825" s="37"/>
      <c r="D825" s="37"/>
      <c r="E825" s="37"/>
      <c r="F825" s="37"/>
      <c r="G825" s="32"/>
      <c r="H825" s="32"/>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row>
    <row r="826" spans="1:46" ht="15">
      <c r="A826" s="37"/>
      <c r="B826" s="15"/>
      <c r="C826" s="37"/>
      <c r="D826" s="37"/>
      <c r="E826" s="37"/>
      <c r="F826" s="37"/>
      <c r="G826" s="32"/>
      <c r="H826" s="32"/>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row>
    <row r="827" spans="1:46" ht="15">
      <c r="A827" s="37"/>
      <c r="B827" s="15"/>
      <c r="C827" s="37"/>
      <c r="D827" s="37"/>
      <c r="E827" s="37"/>
      <c r="F827" s="37"/>
      <c r="G827" s="32"/>
      <c r="H827" s="32"/>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row>
    <row r="828" spans="1:46" ht="15">
      <c r="A828" s="37"/>
      <c r="B828" s="15"/>
      <c r="C828" s="37"/>
      <c r="D828" s="37"/>
      <c r="E828" s="37"/>
      <c r="F828" s="37"/>
      <c r="G828" s="32"/>
      <c r="H828" s="32"/>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row>
    <row r="829" spans="1:46" ht="15">
      <c r="A829" s="37"/>
      <c r="B829" s="15"/>
      <c r="C829" s="37"/>
      <c r="D829" s="37"/>
      <c r="E829" s="37"/>
      <c r="F829" s="37"/>
      <c r="G829" s="32"/>
      <c r="H829" s="32"/>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row>
    <row r="830" spans="1:46" ht="15">
      <c r="A830" s="37"/>
      <c r="B830" s="15"/>
      <c r="C830" s="37"/>
      <c r="D830" s="37"/>
      <c r="E830" s="37"/>
      <c r="F830" s="37"/>
      <c r="G830" s="32"/>
      <c r="H830" s="32"/>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row>
    <row r="831" spans="1:46" ht="15">
      <c r="A831" s="37"/>
      <c r="B831" s="15"/>
      <c r="C831" s="37"/>
      <c r="D831" s="37"/>
      <c r="E831" s="37"/>
      <c r="F831" s="37"/>
      <c r="G831" s="32"/>
      <c r="H831" s="32"/>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row>
    <row r="832" spans="1:46" ht="15">
      <c r="A832" s="37"/>
      <c r="B832" s="15"/>
      <c r="C832" s="37"/>
      <c r="D832" s="37"/>
      <c r="E832" s="37"/>
      <c r="F832" s="37"/>
      <c r="G832" s="32"/>
      <c r="H832" s="32"/>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row>
    <row r="833" spans="1:46" ht="15">
      <c r="A833" s="37"/>
      <c r="B833" s="15"/>
      <c r="C833" s="37"/>
      <c r="D833" s="37"/>
      <c r="E833" s="37"/>
      <c r="F833" s="37"/>
      <c r="G833" s="32"/>
      <c r="H833" s="32"/>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row>
    <row r="834" spans="1:46" ht="15">
      <c r="A834" s="37"/>
      <c r="B834" s="15"/>
      <c r="C834" s="37"/>
      <c r="D834" s="37"/>
      <c r="E834" s="37"/>
      <c r="F834" s="37"/>
      <c r="G834" s="32"/>
      <c r="H834" s="32"/>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row>
    <row r="835" spans="1:46" ht="15">
      <c r="A835" s="37"/>
      <c r="B835" s="15"/>
      <c r="C835" s="37"/>
      <c r="D835" s="37"/>
      <c r="E835" s="37"/>
      <c r="F835" s="37"/>
      <c r="G835" s="32"/>
      <c r="H835" s="32"/>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row>
    <row r="836" spans="1:46" ht="15">
      <c r="A836" s="37"/>
      <c r="B836" s="15"/>
      <c r="C836" s="37"/>
      <c r="D836" s="37"/>
      <c r="E836" s="37"/>
      <c r="F836" s="37"/>
      <c r="G836" s="32"/>
      <c r="H836" s="32"/>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row>
    <row r="837" spans="1:46" ht="15">
      <c r="A837" s="37"/>
      <c r="B837" s="15"/>
      <c r="C837" s="37"/>
      <c r="D837" s="37"/>
      <c r="E837" s="37"/>
      <c r="F837" s="37"/>
      <c r="G837" s="32"/>
      <c r="H837" s="32"/>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row>
    <row r="838" spans="1:46" ht="15">
      <c r="A838" s="37"/>
      <c r="B838" s="15"/>
      <c r="C838" s="37"/>
      <c r="D838" s="37"/>
      <c r="E838" s="37"/>
      <c r="F838" s="37"/>
      <c r="G838" s="32"/>
      <c r="H838" s="32"/>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row>
    <row r="839" spans="1:46" ht="15">
      <c r="A839" s="37"/>
      <c r="B839" s="15"/>
      <c r="C839" s="37"/>
      <c r="D839" s="37"/>
      <c r="E839" s="37"/>
      <c r="F839" s="37"/>
      <c r="G839" s="32"/>
      <c r="H839" s="32"/>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row>
    <row r="840" spans="1:46" ht="15">
      <c r="A840" s="37"/>
      <c r="B840" s="15"/>
      <c r="C840" s="37"/>
      <c r="D840" s="37"/>
      <c r="E840" s="37"/>
      <c r="F840" s="37"/>
      <c r="G840" s="32"/>
      <c r="H840" s="32"/>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row>
    <row r="841" spans="1:46" ht="15">
      <c r="A841" s="37"/>
      <c r="B841" s="15"/>
      <c r="C841" s="37"/>
      <c r="D841" s="37"/>
      <c r="E841" s="37"/>
      <c r="F841" s="37"/>
      <c r="G841" s="32"/>
      <c r="H841" s="32"/>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row>
    <row r="842" spans="1:46" ht="15">
      <c r="A842" s="37"/>
      <c r="B842" s="15"/>
      <c r="C842" s="37"/>
      <c r="D842" s="37"/>
      <c r="E842" s="37"/>
      <c r="F842" s="37"/>
      <c r="G842" s="32"/>
      <c r="H842" s="32"/>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row>
    <row r="843" spans="1:46" ht="15">
      <c r="A843" s="37"/>
      <c r="B843" s="15"/>
      <c r="C843" s="37"/>
      <c r="D843" s="37"/>
      <c r="E843" s="37"/>
      <c r="F843" s="37"/>
      <c r="G843" s="32"/>
      <c r="H843" s="32"/>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row>
    <row r="844" spans="1:46" ht="15">
      <c r="A844" s="37"/>
      <c r="B844" s="15"/>
      <c r="C844" s="37"/>
      <c r="D844" s="37"/>
      <c r="E844" s="37"/>
      <c r="F844" s="37"/>
      <c r="G844" s="32"/>
      <c r="H844" s="32"/>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row>
    <row r="845" spans="1:46" ht="15">
      <c r="A845" s="37"/>
      <c r="B845" s="15"/>
      <c r="C845" s="37"/>
      <c r="D845" s="37"/>
      <c r="E845" s="37"/>
      <c r="F845" s="37"/>
      <c r="G845" s="32"/>
      <c r="H845" s="32"/>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row>
    <row r="846" spans="1:46" ht="15">
      <c r="A846" s="37"/>
      <c r="B846" s="15"/>
      <c r="C846" s="37"/>
      <c r="D846" s="37"/>
      <c r="E846" s="37"/>
      <c r="F846" s="37"/>
      <c r="G846" s="32"/>
      <c r="H846" s="32"/>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row>
    <row r="847" spans="1:46" ht="15">
      <c r="A847" s="37"/>
      <c r="B847" s="15"/>
      <c r="C847" s="37"/>
      <c r="D847" s="37"/>
      <c r="E847" s="37"/>
      <c r="F847" s="37"/>
      <c r="G847" s="32"/>
      <c r="H847" s="32"/>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row>
    <row r="848" spans="1:46" ht="15">
      <c r="A848" s="37"/>
      <c r="B848" s="15"/>
      <c r="C848" s="37"/>
      <c r="D848" s="37"/>
      <c r="E848" s="37"/>
      <c r="F848" s="37"/>
      <c r="G848" s="32"/>
      <c r="H848" s="32"/>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row>
    <row r="849" spans="1:46" ht="15">
      <c r="A849" s="37"/>
      <c r="B849" s="15"/>
      <c r="C849" s="37"/>
      <c r="D849" s="37"/>
      <c r="E849" s="37"/>
      <c r="F849" s="37"/>
      <c r="G849" s="32"/>
      <c r="H849" s="32"/>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row>
    <row r="850" spans="1:46" ht="15">
      <c r="A850" s="37"/>
      <c r="B850" s="15"/>
      <c r="C850" s="37"/>
      <c r="D850" s="37"/>
      <c r="E850" s="37"/>
      <c r="F850" s="37"/>
      <c r="G850" s="32"/>
      <c r="H850" s="32"/>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row>
    <row r="851" spans="1:46" ht="15">
      <c r="A851" s="37"/>
      <c r="B851" s="15"/>
      <c r="C851" s="37"/>
      <c r="D851" s="37"/>
      <c r="E851" s="37"/>
      <c r="F851" s="37"/>
      <c r="G851" s="32"/>
      <c r="H851" s="32"/>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row>
    <row r="852" spans="1:46" ht="15">
      <c r="A852" s="37"/>
      <c r="B852" s="15"/>
      <c r="C852" s="37"/>
      <c r="D852" s="37"/>
      <c r="E852" s="37"/>
      <c r="F852" s="37"/>
      <c r="G852" s="32"/>
      <c r="H852" s="32"/>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row>
    <row r="853" spans="1:46" ht="15">
      <c r="A853" s="37"/>
      <c r="B853" s="15"/>
      <c r="C853" s="37"/>
      <c r="D853" s="37"/>
      <c r="E853" s="37"/>
      <c r="F853" s="37"/>
      <c r="G853" s="32"/>
      <c r="H853" s="32"/>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row>
    <row r="854" spans="1:46" ht="15">
      <c r="A854" s="37"/>
      <c r="B854" s="15"/>
      <c r="C854" s="37"/>
      <c r="D854" s="37"/>
      <c r="E854" s="37"/>
      <c r="F854" s="37"/>
      <c r="G854" s="32"/>
      <c r="H854" s="32"/>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row>
    <row r="855" spans="1:46" ht="15">
      <c r="A855" s="37"/>
      <c r="B855" s="15"/>
      <c r="C855" s="37"/>
      <c r="D855" s="37"/>
      <c r="E855" s="37"/>
      <c r="F855" s="37"/>
      <c r="G855" s="32"/>
      <c r="H855" s="32"/>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row>
    <row r="856" spans="1:46" ht="15">
      <c r="A856" s="37"/>
      <c r="B856" s="15"/>
      <c r="C856" s="37"/>
      <c r="D856" s="37"/>
      <c r="E856" s="37"/>
      <c r="F856" s="37"/>
      <c r="G856" s="32"/>
      <c r="H856" s="32"/>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row>
    <row r="857" spans="1:46" ht="15">
      <c r="A857" s="37"/>
      <c r="B857" s="15"/>
      <c r="C857" s="37"/>
      <c r="D857" s="37"/>
      <c r="E857" s="37"/>
      <c r="F857" s="37"/>
      <c r="G857" s="32"/>
      <c r="H857" s="32"/>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row>
    <row r="858" spans="1:46" ht="15">
      <c r="A858" s="37"/>
      <c r="B858" s="15"/>
      <c r="C858" s="37"/>
      <c r="D858" s="37"/>
      <c r="E858" s="37"/>
      <c r="F858" s="37"/>
      <c r="G858" s="32"/>
      <c r="H858" s="32"/>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row>
    <row r="859" spans="1:46" ht="15">
      <c r="A859" s="37"/>
      <c r="B859" s="15"/>
      <c r="C859" s="37"/>
      <c r="D859" s="37"/>
      <c r="E859" s="37"/>
      <c r="F859" s="37"/>
      <c r="G859" s="32"/>
      <c r="H859" s="32"/>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row>
    <row r="860" spans="1:46" ht="15">
      <c r="A860" s="37"/>
      <c r="B860" s="15"/>
      <c r="C860" s="37"/>
      <c r="D860" s="37"/>
      <c r="E860" s="37"/>
      <c r="F860" s="37"/>
      <c r="G860" s="32"/>
      <c r="H860" s="32"/>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row>
    <row r="861" spans="1:46" ht="15">
      <c r="A861" s="37"/>
      <c r="B861" s="15"/>
      <c r="C861" s="37"/>
      <c r="D861" s="37"/>
      <c r="E861" s="37"/>
      <c r="F861" s="37"/>
      <c r="G861" s="32"/>
      <c r="H861" s="32"/>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row>
    <row r="862" spans="1:46" ht="15">
      <c r="A862" s="37"/>
      <c r="B862" s="15"/>
      <c r="C862" s="37"/>
      <c r="D862" s="37"/>
      <c r="E862" s="37"/>
      <c r="F862" s="37"/>
      <c r="G862" s="32"/>
      <c r="H862" s="32"/>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row>
    <row r="863" spans="1:46" ht="15">
      <c r="A863" s="37"/>
      <c r="B863" s="15"/>
      <c r="C863" s="37"/>
      <c r="D863" s="37"/>
      <c r="E863" s="37"/>
      <c r="F863" s="37"/>
      <c r="G863" s="32"/>
      <c r="H863" s="32"/>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row>
    <row r="864" spans="1:46" ht="15">
      <c r="A864" s="37"/>
      <c r="B864" s="15"/>
      <c r="C864" s="37"/>
      <c r="D864" s="37"/>
      <c r="E864" s="37"/>
      <c r="F864" s="37"/>
      <c r="G864" s="32"/>
      <c r="H864" s="32"/>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row>
    <row r="865" spans="1:46" ht="15">
      <c r="A865" s="37"/>
      <c r="B865" s="15"/>
      <c r="C865" s="37"/>
      <c r="D865" s="37"/>
      <c r="E865" s="37"/>
      <c r="F865" s="37"/>
      <c r="G865" s="32"/>
      <c r="H865" s="32"/>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row>
    <row r="866" spans="1:46" ht="15">
      <c r="A866" s="37"/>
      <c r="B866" s="15"/>
      <c r="C866" s="37"/>
      <c r="D866" s="37"/>
      <c r="E866" s="37"/>
      <c r="F866" s="37"/>
      <c r="G866" s="32"/>
      <c r="H866" s="32"/>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row>
    <row r="867" spans="1:46" ht="15">
      <c r="A867" s="37"/>
      <c r="B867" s="15"/>
      <c r="C867" s="37"/>
      <c r="D867" s="37"/>
      <c r="E867" s="37"/>
      <c r="F867" s="37"/>
      <c r="G867" s="32"/>
      <c r="H867" s="32"/>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row>
    <row r="868" spans="1:46" ht="15">
      <c r="A868" s="37"/>
      <c r="B868" s="15"/>
      <c r="C868" s="37"/>
      <c r="D868" s="37"/>
      <c r="E868" s="37"/>
      <c r="F868" s="37"/>
      <c r="G868" s="32"/>
      <c r="H868" s="32"/>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row>
    <row r="869" spans="1:46" ht="15">
      <c r="A869" s="37"/>
      <c r="B869" s="15"/>
      <c r="C869" s="37"/>
      <c r="D869" s="37"/>
      <c r="E869" s="37"/>
      <c r="F869" s="37"/>
      <c r="G869" s="32"/>
      <c r="H869" s="32"/>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row>
    <row r="870" spans="1:46" ht="15">
      <c r="A870" s="37"/>
      <c r="B870" s="15"/>
      <c r="C870" s="37"/>
      <c r="D870" s="37"/>
      <c r="E870" s="37"/>
      <c r="F870" s="37"/>
      <c r="G870" s="32"/>
      <c r="H870" s="32"/>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row>
    <row r="871" spans="1:46" ht="15">
      <c r="A871" s="37"/>
      <c r="B871" s="15"/>
      <c r="C871" s="37"/>
      <c r="D871" s="37"/>
      <c r="E871" s="37"/>
      <c r="F871" s="37"/>
      <c r="G871" s="32"/>
      <c r="H871" s="32"/>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row>
    <row r="872" spans="1:46" ht="15">
      <c r="A872" s="37"/>
      <c r="B872" s="15"/>
      <c r="C872" s="37"/>
      <c r="D872" s="37"/>
      <c r="E872" s="37"/>
      <c r="F872" s="37"/>
      <c r="G872" s="32"/>
      <c r="H872" s="32"/>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row>
    <row r="873" spans="1:46" ht="15">
      <c r="A873" s="37"/>
      <c r="B873" s="15"/>
      <c r="C873" s="37"/>
      <c r="D873" s="37"/>
      <c r="E873" s="37"/>
      <c r="F873" s="37"/>
      <c r="G873" s="32"/>
      <c r="H873" s="32"/>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row>
    <row r="874" spans="1:46" ht="15">
      <c r="A874" s="37"/>
      <c r="B874" s="15"/>
      <c r="C874" s="37"/>
      <c r="D874" s="37"/>
      <c r="E874" s="37"/>
      <c r="F874" s="37"/>
      <c r="G874" s="32"/>
      <c r="H874" s="32"/>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row>
    <row r="875" spans="1:46" ht="15">
      <c r="A875" s="37"/>
      <c r="B875" s="15"/>
      <c r="C875" s="37"/>
      <c r="D875" s="37"/>
      <c r="E875" s="37"/>
      <c r="F875" s="37"/>
      <c r="G875" s="32"/>
      <c r="H875" s="32"/>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row>
    <row r="876" spans="1:46" ht="15">
      <c r="A876" s="37"/>
      <c r="B876" s="15"/>
      <c r="C876" s="37"/>
      <c r="D876" s="37"/>
      <c r="E876" s="37"/>
      <c r="F876" s="37"/>
      <c r="G876" s="32"/>
      <c r="H876" s="32"/>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row>
    <row r="877" spans="1:46" ht="15">
      <c r="A877" s="37"/>
      <c r="B877" s="15"/>
      <c r="C877" s="37"/>
      <c r="D877" s="37"/>
      <c r="E877" s="37"/>
      <c r="F877" s="37"/>
      <c r="G877" s="32"/>
      <c r="H877" s="32"/>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row>
    <row r="878" spans="1:46" ht="15">
      <c r="A878" s="37"/>
      <c r="B878" s="15"/>
      <c r="C878" s="37"/>
      <c r="D878" s="37"/>
      <c r="E878" s="37"/>
      <c r="F878" s="37"/>
      <c r="G878" s="32"/>
      <c r="H878" s="32"/>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row>
    <row r="879" spans="1:46" ht="15">
      <c r="A879" s="37"/>
      <c r="B879" s="15"/>
      <c r="C879" s="37"/>
      <c r="D879" s="37"/>
      <c r="E879" s="37"/>
      <c r="F879" s="37"/>
      <c r="G879" s="32"/>
      <c r="H879" s="32"/>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row>
    <row r="880" spans="1:46" ht="15">
      <c r="A880" s="37"/>
      <c r="B880" s="15"/>
      <c r="C880" s="37"/>
      <c r="D880" s="37"/>
      <c r="E880" s="37"/>
      <c r="F880" s="37"/>
      <c r="G880" s="32"/>
      <c r="H880" s="32"/>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row>
    <row r="881" spans="1:46" ht="15">
      <c r="A881" s="37"/>
      <c r="B881" s="15"/>
      <c r="C881" s="37"/>
      <c r="D881" s="37"/>
      <c r="E881" s="37"/>
      <c r="F881" s="37"/>
      <c r="G881" s="32"/>
      <c r="H881" s="32"/>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row>
    <row r="882" spans="1:46" ht="15">
      <c r="A882" s="37"/>
      <c r="B882" s="15"/>
      <c r="C882" s="37"/>
      <c r="D882" s="37"/>
      <c r="E882" s="37"/>
      <c r="F882" s="37"/>
      <c r="G882" s="32"/>
      <c r="H882" s="32"/>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row>
    <row r="883" spans="1:46" ht="15">
      <c r="A883" s="37"/>
      <c r="B883" s="15"/>
      <c r="C883" s="37"/>
      <c r="D883" s="37"/>
      <c r="E883" s="37"/>
      <c r="F883" s="37"/>
      <c r="G883" s="32"/>
      <c r="H883" s="32"/>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row>
    <row r="884" spans="1:46" ht="15">
      <c r="A884" s="37"/>
      <c r="B884" s="15"/>
      <c r="C884" s="37"/>
      <c r="D884" s="37"/>
      <c r="E884" s="37"/>
      <c r="F884" s="37"/>
      <c r="G884" s="32"/>
      <c r="H884" s="32"/>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row>
    <row r="885" spans="1:46" ht="15">
      <c r="A885" s="37"/>
      <c r="B885" s="15"/>
      <c r="C885" s="37"/>
      <c r="D885" s="37"/>
      <c r="E885" s="37"/>
      <c r="F885" s="37"/>
      <c r="G885" s="32"/>
      <c r="H885" s="32"/>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row>
    <row r="886" spans="1:46" ht="15">
      <c r="A886" s="37"/>
      <c r="B886" s="15"/>
      <c r="C886" s="37"/>
      <c r="D886" s="37"/>
      <c r="E886" s="37"/>
      <c r="F886" s="37"/>
      <c r="G886" s="32"/>
      <c r="H886" s="32"/>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row>
    <row r="887" spans="1:46" ht="15">
      <c r="A887" s="37"/>
      <c r="B887" s="15"/>
      <c r="C887" s="37"/>
      <c r="D887" s="37"/>
      <c r="E887" s="37"/>
      <c r="F887" s="37"/>
      <c r="G887" s="32"/>
      <c r="H887" s="32"/>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row>
    <row r="888" spans="1:46" ht="15">
      <c r="A888" s="37"/>
      <c r="B888" s="15"/>
      <c r="C888" s="37"/>
      <c r="D888" s="37"/>
      <c r="E888" s="37"/>
      <c r="F888" s="37"/>
      <c r="G888" s="32"/>
      <c r="H888" s="32"/>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row>
    <row r="889" spans="1:46" ht="15">
      <c r="A889" s="37"/>
      <c r="B889" s="15"/>
      <c r="C889" s="37"/>
      <c r="D889" s="37"/>
      <c r="E889" s="37"/>
      <c r="F889" s="37"/>
      <c r="G889" s="32"/>
      <c r="H889" s="32"/>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row>
    <row r="890" spans="1:46" ht="15">
      <c r="A890" s="37"/>
      <c r="B890" s="15"/>
      <c r="C890" s="37"/>
      <c r="D890" s="37"/>
      <c r="E890" s="37"/>
      <c r="F890" s="37"/>
      <c r="G890" s="32"/>
      <c r="H890" s="32"/>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row>
    <row r="891" spans="1:46" ht="15">
      <c r="A891" s="37"/>
      <c r="B891" s="15"/>
      <c r="C891" s="37"/>
      <c r="D891" s="37"/>
      <c r="E891" s="37"/>
      <c r="F891" s="37"/>
      <c r="G891" s="32"/>
      <c r="H891" s="32"/>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row>
    <row r="892" spans="1:46" ht="15">
      <c r="A892" s="37"/>
      <c r="B892" s="15"/>
      <c r="C892" s="37"/>
      <c r="D892" s="37"/>
      <c r="E892" s="37"/>
      <c r="F892" s="37"/>
      <c r="G892" s="32"/>
      <c r="H892" s="32"/>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row>
    <row r="893" spans="1:46" ht="15">
      <c r="A893" s="37"/>
      <c r="B893" s="15"/>
      <c r="C893" s="37"/>
      <c r="D893" s="37"/>
      <c r="E893" s="37"/>
      <c r="F893" s="37"/>
      <c r="G893" s="32"/>
      <c r="H893" s="32"/>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row>
    <row r="894" spans="1:46" ht="15">
      <c r="A894" s="37"/>
      <c r="B894" s="15"/>
      <c r="C894" s="37"/>
      <c r="D894" s="37"/>
      <c r="E894" s="37"/>
      <c r="F894" s="37"/>
      <c r="G894" s="32"/>
      <c r="H894" s="32"/>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row>
    <row r="895" spans="1:46" ht="15">
      <c r="A895" s="37"/>
      <c r="B895" s="15"/>
      <c r="C895" s="37"/>
      <c r="D895" s="37"/>
      <c r="E895" s="37"/>
      <c r="F895" s="37"/>
      <c r="G895" s="32"/>
      <c r="H895" s="32"/>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row>
    <row r="896" spans="1:46" ht="15">
      <c r="A896" s="37"/>
      <c r="B896" s="15"/>
      <c r="C896" s="37"/>
      <c r="D896" s="37"/>
      <c r="E896" s="37"/>
      <c r="F896" s="37"/>
      <c r="G896" s="32"/>
      <c r="H896" s="32"/>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row>
    <row r="897" spans="1:46" ht="15">
      <c r="A897" s="37"/>
      <c r="B897" s="15"/>
      <c r="C897" s="37"/>
      <c r="D897" s="37"/>
      <c r="E897" s="37"/>
      <c r="F897" s="37"/>
      <c r="G897" s="32"/>
      <c r="H897" s="32"/>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row>
    <row r="898" spans="1:46" ht="15">
      <c r="A898" s="37"/>
      <c r="B898" s="15"/>
      <c r="C898" s="37"/>
      <c r="D898" s="37"/>
      <c r="E898" s="37"/>
      <c r="F898" s="37"/>
      <c r="G898" s="32"/>
      <c r="H898" s="32"/>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row>
    <row r="899" spans="1:46" ht="15">
      <c r="A899" s="37"/>
      <c r="B899" s="15"/>
      <c r="C899" s="37"/>
      <c r="D899" s="37"/>
      <c r="E899" s="37"/>
      <c r="F899" s="37"/>
      <c r="G899" s="32"/>
      <c r="H899" s="32"/>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row>
    <row r="900" spans="1:46" ht="15">
      <c r="A900" s="37"/>
      <c r="B900" s="15"/>
      <c r="C900" s="37"/>
      <c r="D900" s="37"/>
      <c r="E900" s="37"/>
      <c r="F900" s="37"/>
      <c r="G900" s="32"/>
      <c r="H900" s="32"/>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row>
    <row r="901" spans="1:46" ht="15">
      <c r="A901" s="37"/>
      <c r="B901" s="15"/>
      <c r="C901" s="37"/>
      <c r="D901" s="37"/>
      <c r="E901" s="37"/>
      <c r="F901" s="37"/>
      <c r="G901" s="32"/>
      <c r="H901" s="32"/>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row>
    <row r="902" spans="1:46" ht="15">
      <c r="A902" s="37"/>
      <c r="B902" s="15"/>
      <c r="C902" s="37"/>
      <c r="D902" s="37"/>
      <c r="E902" s="37"/>
      <c r="F902" s="37"/>
      <c r="G902" s="32"/>
      <c r="H902" s="32"/>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row>
    <row r="903" spans="1:46" ht="15">
      <c r="A903" s="37"/>
      <c r="B903" s="15"/>
      <c r="C903" s="37"/>
      <c r="D903" s="37"/>
      <c r="E903" s="37"/>
      <c r="F903" s="37"/>
      <c r="G903" s="32"/>
      <c r="H903" s="32"/>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row>
    <row r="904" spans="1:46" ht="15">
      <c r="A904" s="37"/>
      <c r="B904" s="15"/>
      <c r="C904" s="37"/>
      <c r="D904" s="37"/>
      <c r="E904" s="37"/>
      <c r="F904" s="37"/>
      <c r="G904" s="32"/>
      <c r="H904" s="32"/>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row>
    <row r="905" spans="1:46" ht="15">
      <c r="A905" s="37"/>
      <c r="B905" s="15"/>
      <c r="C905" s="37"/>
      <c r="D905" s="37"/>
      <c r="E905" s="37"/>
      <c r="F905" s="37"/>
      <c r="G905" s="32"/>
      <c r="H905" s="32"/>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row>
    <row r="906" spans="1:46" ht="15">
      <c r="A906" s="37"/>
      <c r="B906" s="15"/>
      <c r="C906" s="37"/>
      <c r="D906" s="37"/>
      <c r="E906" s="37"/>
      <c r="F906" s="37"/>
      <c r="G906" s="32"/>
      <c r="H906" s="32"/>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row>
    <row r="907" spans="1:46" ht="15">
      <c r="A907" s="37"/>
      <c r="B907" s="15"/>
      <c r="C907" s="37"/>
      <c r="D907" s="37"/>
      <c r="E907" s="37"/>
      <c r="F907" s="37"/>
      <c r="G907" s="32"/>
      <c r="H907" s="32"/>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row>
    <row r="908" spans="1:46" ht="15">
      <c r="A908" s="37"/>
      <c r="B908" s="15"/>
      <c r="C908" s="37"/>
      <c r="D908" s="37"/>
      <c r="E908" s="37"/>
      <c r="F908" s="37"/>
      <c r="G908" s="32"/>
      <c r="H908" s="32"/>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row>
    <row r="909" spans="1:46" ht="15">
      <c r="A909" s="37"/>
      <c r="B909" s="15"/>
      <c r="C909" s="37"/>
      <c r="D909" s="37"/>
      <c r="E909" s="37"/>
      <c r="F909" s="37"/>
      <c r="G909" s="32"/>
      <c r="H909" s="32"/>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row>
    <row r="910" spans="1:46" ht="15">
      <c r="A910" s="37"/>
      <c r="B910" s="15"/>
      <c r="C910" s="37"/>
      <c r="D910" s="37"/>
      <c r="E910" s="37"/>
      <c r="F910" s="37"/>
      <c r="G910" s="32"/>
      <c r="H910" s="32"/>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row>
    <row r="911" spans="1:46" ht="15">
      <c r="A911" s="37"/>
      <c r="B911" s="15"/>
      <c r="C911" s="37"/>
      <c r="D911" s="37"/>
      <c r="E911" s="37"/>
      <c r="F911" s="37"/>
      <c r="G911" s="32"/>
      <c r="H911" s="32"/>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row>
    <row r="912" spans="1:46" ht="15">
      <c r="A912" s="37"/>
      <c r="B912" s="15"/>
      <c r="C912" s="37"/>
      <c r="D912" s="37"/>
      <c r="E912" s="37"/>
      <c r="F912" s="37"/>
      <c r="G912" s="32"/>
      <c r="H912" s="32"/>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row>
    <row r="913" spans="1:46" ht="15">
      <c r="A913" s="37"/>
      <c r="B913" s="15"/>
      <c r="C913" s="37"/>
      <c r="D913" s="37"/>
      <c r="E913" s="37"/>
      <c r="F913" s="37"/>
      <c r="G913" s="32"/>
      <c r="H913" s="32"/>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row>
    <row r="914" spans="1:46" ht="15">
      <c r="A914" s="37"/>
      <c r="B914" s="15"/>
      <c r="C914" s="37"/>
      <c r="D914" s="37"/>
      <c r="E914" s="37"/>
      <c r="F914" s="37"/>
      <c r="G914" s="32"/>
      <c r="H914" s="32"/>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row>
    <row r="915" spans="1:46" ht="15">
      <c r="A915" s="37"/>
      <c r="B915" s="15"/>
      <c r="C915" s="37"/>
      <c r="D915" s="37"/>
      <c r="E915" s="37"/>
      <c r="F915" s="37"/>
      <c r="G915" s="32"/>
      <c r="H915" s="32"/>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row>
    <row r="916" spans="1:46" ht="15">
      <c r="A916" s="37"/>
      <c r="B916" s="15"/>
      <c r="C916" s="37"/>
      <c r="D916" s="37"/>
      <c r="E916" s="37"/>
      <c r="F916" s="37"/>
      <c r="G916" s="32"/>
      <c r="H916" s="32"/>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row>
    <row r="917" spans="1:46" ht="15">
      <c r="A917" s="37"/>
      <c r="B917" s="15"/>
      <c r="C917" s="37"/>
      <c r="D917" s="37"/>
      <c r="E917" s="37"/>
      <c r="F917" s="37"/>
      <c r="G917" s="32"/>
      <c r="H917" s="32"/>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row>
    <row r="918" spans="1:46" ht="15">
      <c r="A918" s="37"/>
      <c r="B918" s="15"/>
      <c r="C918" s="37"/>
      <c r="D918" s="37"/>
      <c r="E918" s="37"/>
      <c r="F918" s="37"/>
      <c r="G918" s="32"/>
      <c r="H918" s="32"/>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row>
    <row r="919" spans="1:46" ht="15">
      <c r="A919" s="37"/>
      <c r="B919" s="15"/>
      <c r="C919" s="37"/>
      <c r="D919" s="37"/>
      <c r="E919" s="37"/>
      <c r="F919" s="37"/>
      <c r="G919" s="32"/>
      <c r="H919" s="32"/>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row>
    <row r="920" spans="1:46" ht="15">
      <c r="A920" s="37"/>
      <c r="B920" s="15"/>
      <c r="C920" s="37"/>
      <c r="D920" s="37"/>
      <c r="E920" s="37"/>
      <c r="F920" s="37"/>
      <c r="G920" s="32"/>
      <c r="H920" s="32"/>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row>
    <row r="921" spans="1:46" ht="15">
      <c r="A921" s="37"/>
      <c r="B921" s="15"/>
      <c r="C921" s="37"/>
      <c r="D921" s="37"/>
      <c r="E921" s="37"/>
      <c r="F921" s="37"/>
      <c r="G921" s="32"/>
      <c r="H921" s="32"/>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row>
    <row r="922" spans="1:46" ht="15">
      <c r="A922" s="37"/>
      <c r="B922" s="15"/>
      <c r="C922" s="37"/>
      <c r="D922" s="37"/>
      <c r="E922" s="37"/>
      <c r="F922" s="37"/>
      <c r="G922" s="32"/>
      <c r="H922" s="32"/>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row>
    <row r="923" spans="1:46" ht="15">
      <c r="A923" s="37"/>
      <c r="B923" s="15"/>
      <c r="C923" s="37"/>
      <c r="D923" s="37"/>
      <c r="E923" s="37"/>
      <c r="F923" s="37"/>
      <c r="G923" s="32"/>
      <c r="H923" s="32"/>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row>
    <row r="924" spans="1:46" ht="15">
      <c r="A924" s="37"/>
      <c r="B924" s="15"/>
      <c r="C924" s="37"/>
      <c r="D924" s="37"/>
      <c r="E924" s="37"/>
      <c r="F924" s="37"/>
      <c r="G924" s="32"/>
      <c r="H924" s="32"/>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row>
    <row r="925" spans="1:46" ht="15">
      <c r="A925" s="37"/>
      <c r="B925" s="15"/>
      <c r="C925" s="37"/>
      <c r="D925" s="37"/>
      <c r="E925" s="37"/>
      <c r="F925" s="37"/>
      <c r="G925" s="32"/>
      <c r="H925" s="32"/>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row>
    <row r="926" spans="1:46" ht="15">
      <c r="A926" s="37"/>
      <c r="B926" s="15"/>
      <c r="C926" s="37"/>
      <c r="D926" s="37"/>
      <c r="E926" s="37"/>
      <c r="F926" s="37"/>
      <c r="G926" s="32"/>
      <c r="H926" s="32"/>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row>
    <row r="927" spans="1:46" ht="15">
      <c r="A927" s="37"/>
      <c r="B927" s="15"/>
      <c r="C927" s="37"/>
      <c r="D927" s="37"/>
      <c r="E927" s="37"/>
      <c r="F927" s="37"/>
      <c r="G927" s="32"/>
      <c r="H927" s="32"/>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row>
    <row r="928" spans="1:46" ht="15">
      <c r="A928" s="37"/>
      <c r="B928" s="15"/>
      <c r="C928" s="37"/>
      <c r="D928" s="37"/>
      <c r="E928" s="37"/>
      <c r="F928" s="37"/>
      <c r="G928" s="32"/>
      <c r="H928" s="32"/>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row>
    <row r="929" spans="1:46" ht="15">
      <c r="A929" s="37"/>
      <c r="B929" s="15"/>
      <c r="C929" s="37"/>
      <c r="D929" s="37"/>
      <c r="E929" s="37"/>
      <c r="F929" s="37"/>
      <c r="G929" s="32"/>
      <c r="H929" s="32"/>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row>
    <row r="930" spans="1:46" ht="15">
      <c r="A930" s="37"/>
      <c r="B930" s="15"/>
      <c r="C930" s="37"/>
      <c r="D930" s="37"/>
      <c r="E930" s="37"/>
      <c r="F930" s="37"/>
      <c r="G930" s="32"/>
      <c r="H930" s="32"/>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row>
    <row r="931" spans="1:46" ht="15">
      <c r="A931" s="37"/>
      <c r="B931" s="15"/>
      <c r="C931" s="37"/>
      <c r="D931" s="37"/>
      <c r="E931" s="37"/>
      <c r="F931" s="37"/>
      <c r="G931" s="32"/>
      <c r="H931" s="32"/>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row>
    <row r="932" spans="1:46" ht="15">
      <c r="A932" s="37"/>
      <c r="B932" s="15"/>
      <c r="C932" s="37"/>
      <c r="D932" s="37"/>
      <c r="E932" s="37"/>
      <c r="F932" s="37"/>
      <c r="G932" s="32"/>
      <c r="H932" s="32"/>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row>
    <row r="933" spans="1:46" ht="15">
      <c r="A933" s="37"/>
      <c r="B933" s="15"/>
      <c r="C933" s="37"/>
      <c r="D933" s="37"/>
      <c r="E933" s="37"/>
      <c r="F933" s="37"/>
      <c r="G933" s="32"/>
      <c r="H933" s="32"/>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row>
    <row r="934" spans="1:46" ht="15">
      <c r="A934" s="37"/>
      <c r="B934" s="15"/>
      <c r="C934" s="37"/>
      <c r="D934" s="37"/>
      <c r="E934" s="37"/>
      <c r="F934" s="37"/>
      <c r="G934" s="32"/>
      <c r="H934" s="32"/>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row>
    <row r="935" spans="1:46" ht="15">
      <c r="A935" s="37"/>
      <c r="B935" s="15"/>
      <c r="C935" s="37"/>
      <c r="D935" s="37"/>
      <c r="E935" s="37"/>
      <c r="F935" s="37"/>
      <c r="G935" s="32"/>
      <c r="H935" s="32"/>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row>
    <row r="936" spans="1:46" ht="15">
      <c r="A936" s="37"/>
      <c r="B936" s="15"/>
      <c r="C936" s="37"/>
      <c r="D936" s="37"/>
      <c r="E936" s="37"/>
      <c r="F936" s="37"/>
      <c r="G936" s="32"/>
      <c r="H936" s="32"/>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row>
    <row r="937" spans="1:46" ht="15">
      <c r="A937" s="37"/>
      <c r="B937" s="15"/>
      <c r="C937" s="37"/>
      <c r="D937" s="37"/>
      <c r="E937" s="37"/>
      <c r="F937" s="37"/>
      <c r="G937" s="32"/>
      <c r="H937" s="32"/>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row>
    <row r="938" spans="1:46" ht="15">
      <c r="A938" s="37"/>
      <c r="B938" s="15"/>
      <c r="C938" s="37"/>
      <c r="D938" s="37"/>
      <c r="E938" s="37"/>
      <c r="F938" s="37"/>
      <c r="G938" s="32"/>
      <c r="H938" s="32"/>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row>
    <row r="939" spans="1:46" ht="15">
      <c r="A939" s="37"/>
      <c r="B939" s="15"/>
      <c r="C939" s="37"/>
      <c r="D939" s="37"/>
      <c r="E939" s="37"/>
      <c r="F939" s="37"/>
      <c r="G939" s="32"/>
      <c r="H939" s="32"/>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row>
    <row r="940" spans="1:46" ht="15">
      <c r="A940" s="37"/>
      <c r="B940" s="15"/>
      <c r="C940" s="37"/>
      <c r="D940" s="37"/>
      <c r="E940" s="37"/>
      <c r="F940" s="37"/>
      <c r="G940" s="32"/>
      <c r="H940" s="32"/>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row>
    <row r="941" spans="1:46" ht="15">
      <c r="A941" s="37"/>
      <c r="B941" s="15"/>
      <c r="C941" s="37"/>
      <c r="D941" s="37"/>
      <c r="E941" s="37"/>
      <c r="F941" s="37"/>
      <c r="G941" s="32"/>
      <c r="H941" s="32"/>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row>
    <row r="942" spans="1:46" ht="15">
      <c r="A942" s="37"/>
      <c r="B942" s="15"/>
      <c r="C942" s="37"/>
      <c r="D942" s="37"/>
      <c r="E942" s="37"/>
      <c r="F942" s="37"/>
      <c r="G942" s="32"/>
      <c r="H942" s="32"/>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row>
    <row r="943" spans="1:46" ht="15">
      <c r="A943" s="37"/>
      <c r="B943" s="15"/>
      <c r="C943" s="37"/>
      <c r="D943" s="37"/>
      <c r="E943" s="37"/>
      <c r="F943" s="37"/>
      <c r="G943" s="32"/>
      <c r="H943" s="32"/>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row>
    <row r="944" spans="1:46" ht="15">
      <c r="A944" s="37"/>
      <c r="B944" s="15"/>
      <c r="C944" s="37"/>
      <c r="D944" s="37"/>
      <c r="E944" s="37"/>
      <c r="F944" s="37"/>
      <c r="G944" s="32"/>
      <c r="H944" s="32"/>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row>
    <row r="945" spans="1:46" ht="15">
      <c r="A945" s="37"/>
      <c r="B945" s="15"/>
      <c r="C945" s="37"/>
      <c r="D945" s="37"/>
      <c r="E945" s="37"/>
      <c r="F945" s="37"/>
      <c r="G945" s="32"/>
      <c r="H945" s="32"/>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row>
    <row r="946" spans="1:46" ht="15">
      <c r="A946" s="37"/>
      <c r="B946" s="15"/>
      <c r="C946" s="37"/>
      <c r="D946" s="37"/>
      <c r="E946" s="37"/>
      <c r="F946" s="37"/>
      <c r="G946" s="32"/>
      <c r="H946" s="32"/>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row>
    <row r="947" spans="1:46" ht="15">
      <c r="A947" s="37"/>
      <c r="B947" s="15"/>
      <c r="C947" s="37"/>
      <c r="D947" s="37"/>
      <c r="E947" s="37"/>
      <c r="F947" s="37"/>
      <c r="G947" s="32"/>
      <c r="H947" s="32"/>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row>
    <row r="948" spans="1:46" ht="15">
      <c r="A948" s="37"/>
      <c r="B948" s="15"/>
      <c r="C948" s="37"/>
      <c r="D948" s="37"/>
      <c r="E948" s="37"/>
      <c r="F948" s="37"/>
      <c r="G948" s="32"/>
      <c r="H948" s="32"/>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row>
    <row r="949" spans="1:46" ht="15">
      <c r="A949" s="37"/>
      <c r="B949" s="15"/>
      <c r="C949" s="37"/>
      <c r="D949" s="37"/>
      <c r="E949" s="37"/>
      <c r="F949" s="37"/>
      <c r="G949" s="32"/>
      <c r="H949" s="32"/>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row>
    <row r="950" spans="1:46" ht="15">
      <c r="A950" s="37"/>
      <c r="B950" s="15"/>
      <c r="C950" s="37"/>
      <c r="D950" s="37"/>
      <c r="E950" s="37"/>
      <c r="F950" s="37"/>
      <c r="G950" s="32"/>
      <c r="H950" s="32"/>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row>
    <row r="951" spans="1:46" ht="15">
      <c r="A951" s="37"/>
      <c r="B951" s="15"/>
      <c r="C951" s="37"/>
      <c r="D951" s="37"/>
      <c r="E951" s="37"/>
      <c r="F951" s="37"/>
      <c r="G951" s="32"/>
      <c r="H951" s="32"/>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row>
    <row r="952" spans="1:46" ht="15">
      <c r="A952" s="37"/>
      <c r="B952" s="15"/>
      <c r="C952" s="37"/>
      <c r="D952" s="37"/>
      <c r="E952" s="37"/>
      <c r="F952" s="37"/>
      <c r="G952" s="32"/>
      <c r="H952" s="32"/>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row>
    <row r="953" spans="1:46" ht="15">
      <c r="A953" s="37"/>
      <c r="B953" s="15"/>
      <c r="C953" s="37"/>
      <c r="D953" s="37"/>
      <c r="E953" s="37"/>
      <c r="F953" s="37"/>
      <c r="G953" s="32"/>
      <c r="H953" s="32"/>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row>
    <row r="954" spans="1:46" ht="15">
      <c r="A954" s="37"/>
      <c r="B954" s="15"/>
      <c r="C954" s="37"/>
      <c r="D954" s="37"/>
      <c r="E954" s="37"/>
      <c r="F954" s="37"/>
      <c r="G954" s="32"/>
      <c r="H954" s="32"/>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row>
    <row r="955" spans="1:46" ht="15">
      <c r="A955" s="37"/>
      <c r="B955" s="15"/>
      <c r="C955" s="37"/>
      <c r="D955" s="37"/>
      <c r="E955" s="37"/>
      <c r="F955" s="37"/>
      <c r="G955" s="32"/>
      <c r="H955" s="32"/>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row>
    <row r="956" spans="1:46" ht="15">
      <c r="A956" s="37"/>
      <c r="B956" s="15"/>
      <c r="C956" s="37"/>
      <c r="D956" s="37"/>
      <c r="E956" s="37"/>
      <c r="F956" s="37"/>
      <c r="G956" s="32"/>
      <c r="H956" s="32"/>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row>
    <row r="957" spans="1:46" ht="15">
      <c r="A957" s="37"/>
      <c r="B957" s="15"/>
      <c r="C957" s="37"/>
      <c r="D957" s="37"/>
      <c r="E957" s="37"/>
      <c r="F957" s="37"/>
      <c r="G957" s="32"/>
      <c r="H957" s="32"/>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row>
    <row r="958" spans="1:46" ht="15">
      <c r="A958" s="37"/>
      <c r="B958" s="15"/>
      <c r="C958" s="37"/>
      <c r="D958" s="37"/>
      <c r="E958" s="37"/>
      <c r="F958" s="37"/>
      <c r="G958" s="32"/>
      <c r="H958" s="32"/>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row>
    <row r="959" spans="1:46" ht="15">
      <c r="A959" s="37"/>
      <c r="B959" s="15"/>
      <c r="C959" s="37"/>
      <c r="D959" s="37"/>
      <c r="E959" s="37"/>
      <c r="F959" s="37"/>
      <c r="G959" s="32"/>
      <c r="H959" s="32"/>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row>
    <row r="960" spans="1:46" ht="15">
      <c r="A960" s="37"/>
      <c r="B960" s="15"/>
      <c r="C960" s="37"/>
      <c r="D960" s="37"/>
      <c r="E960" s="37"/>
      <c r="F960" s="37"/>
      <c r="G960" s="32"/>
      <c r="H960" s="32"/>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row>
    <row r="961" spans="1:46" ht="15">
      <c r="A961" s="37"/>
      <c r="B961" s="15"/>
      <c r="C961" s="37"/>
      <c r="D961" s="37"/>
      <c r="E961" s="37"/>
      <c r="F961" s="37"/>
      <c r="G961" s="32"/>
      <c r="H961" s="32"/>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row>
    <row r="962" spans="1:46" ht="15">
      <c r="A962" s="37"/>
      <c r="B962" s="15"/>
      <c r="C962" s="37"/>
      <c r="D962" s="37"/>
      <c r="E962" s="37"/>
      <c r="F962" s="37"/>
      <c r="G962" s="32"/>
      <c r="H962" s="32"/>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row>
    <row r="963" spans="1:46" ht="15">
      <c r="A963" s="37"/>
      <c r="B963" s="15"/>
      <c r="C963" s="37"/>
      <c r="D963" s="37"/>
      <c r="E963" s="37"/>
      <c r="F963" s="37"/>
      <c r="G963" s="32"/>
      <c r="H963" s="32"/>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row>
    <row r="964" spans="1:46" ht="15">
      <c r="A964" s="37"/>
      <c r="B964" s="15"/>
      <c r="C964" s="37"/>
      <c r="D964" s="37"/>
      <c r="E964" s="37"/>
      <c r="F964" s="37"/>
      <c r="G964" s="32"/>
      <c r="H964" s="32"/>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row>
    <row r="965" spans="1:46" ht="15">
      <c r="A965" s="37"/>
      <c r="B965" s="15"/>
      <c r="C965" s="37"/>
      <c r="D965" s="37"/>
      <c r="E965" s="37"/>
      <c r="F965" s="37"/>
      <c r="G965" s="32"/>
      <c r="H965" s="32"/>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row>
    <row r="966" spans="1:46" ht="15">
      <c r="A966" s="37"/>
      <c r="B966" s="15"/>
      <c r="C966" s="37"/>
      <c r="D966" s="37"/>
      <c r="E966" s="37"/>
      <c r="F966" s="37"/>
      <c r="G966" s="32"/>
      <c r="H966" s="32"/>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row>
    <row r="967" spans="1:46" ht="15">
      <c r="A967" s="37"/>
      <c r="B967" s="15"/>
      <c r="C967" s="37"/>
      <c r="D967" s="37"/>
      <c r="E967" s="37"/>
      <c r="F967" s="37"/>
      <c r="G967" s="32"/>
      <c r="H967" s="32"/>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row>
    <row r="968" spans="1:46" ht="15">
      <c r="A968" s="37"/>
      <c r="B968" s="15"/>
      <c r="C968" s="37"/>
      <c r="D968" s="37"/>
      <c r="E968" s="37"/>
      <c r="F968" s="37"/>
      <c r="G968" s="32"/>
      <c r="H968" s="32"/>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row>
    <row r="969" spans="1:46" ht="15">
      <c r="A969" s="37"/>
      <c r="B969" s="15"/>
      <c r="C969" s="37"/>
      <c r="D969" s="37"/>
      <c r="E969" s="37"/>
      <c r="F969" s="37"/>
      <c r="G969" s="32"/>
      <c r="H969" s="32"/>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row>
    <row r="970" spans="1:46" ht="15">
      <c r="A970" s="37"/>
      <c r="B970" s="15"/>
      <c r="C970" s="37"/>
      <c r="D970" s="37"/>
      <c r="E970" s="37"/>
      <c r="F970" s="37"/>
      <c r="G970" s="32"/>
      <c r="H970" s="32"/>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row>
    <row r="971" spans="1:46" ht="15">
      <c r="A971" s="37"/>
      <c r="B971" s="15"/>
      <c r="C971" s="37"/>
      <c r="D971" s="37"/>
      <c r="E971" s="37"/>
      <c r="F971" s="37"/>
      <c r="G971" s="32"/>
      <c r="H971" s="32"/>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row>
    <row r="972" spans="1:46" ht="15">
      <c r="A972" s="37"/>
      <c r="B972" s="15"/>
      <c r="C972" s="37"/>
      <c r="D972" s="37"/>
      <c r="E972" s="37"/>
      <c r="F972" s="37"/>
      <c r="G972" s="32"/>
      <c r="H972" s="32"/>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row>
    <row r="973" spans="1:46" ht="15">
      <c r="A973" s="37"/>
      <c r="B973" s="15"/>
      <c r="C973" s="37"/>
      <c r="D973" s="37"/>
      <c r="E973" s="37"/>
      <c r="F973" s="37"/>
      <c r="G973" s="32"/>
      <c r="H973" s="32"/>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row>
    <row r="974" spans="1:46" ht="15">
      <c r="A974" s="37"/>
      <c r="B974" s="15"/>
      <c r="C974" s="37"/>
      <c r="D974" s="37"/>
      <c r="E974" s="37"/>
      <c r="F974" s="37"/>
      <c r="G974" s="32"/>
      <c r="H974" s="32"/>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row>
    <row r="975" spans="1:46" ht="15">
      <c r="A975" s="37"/>
      <c r="B975" s="15"/>
      <c r="C975" s="37"/>
      <c r="D975" s="37"/>
      <c r="E975" s="37"/>
      <c r="F975" s="37"/>
      <c r="G975" s="32"/>
      <c r="H975" s="32"/>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row>
    <row r="976" spans="1:46" ht="15">
      <c r="A976" s="37"/>
      <c r="B976" s="15"/>
      <c r="C976" s="37"/>
      <c r="D976" s="37"/>
      <c r="E976" s="37"/>
      <c r="F976" s="37"/>
      <c r="G976" s="32"/>
      <c r="H976" s="32"/>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row>
    <row r="977" spans="1:46" ht="15">
      <c r="A977" s="37"/>
      <c r="B977" s="15"/>
      <c r="C977" s="37"/>
      <c r="D977" s="37"/>
      <c r="E977" s="37"/>
      <c r="F977" s="37"/>
      <c r="G977" s="32"/>
      <c r="H977" s="32"/>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row>
    <row r="978" spans="1:46" ht="15">
      <c r="A978" s="37"/>
      <c r="B978" s="15"/>
      <c r="C978" s="37"/>
      <c r="D978" s="37"/>
      <c r="E978" s="37"/>
      <c r="F978" s="37"/>
      <c r="G978" s="32"/>
      <c r="H978" s="32"/>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row>
    <row r="979" spans="1:46" ht="15">
      <c r="A979" s="37"/>
      <c r="B979" s="15"/>
      <c r="C979" s="37"/>
      <c r="D979" s="37"/>
      <c r="E979" s="37"/>
      <c r="F979" s="37"/>
      <c r="G979" s="32"/>
      <c r="H979" s="32"/>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row>
    <row r="980" spans="1:46" ht="15">
      <c r="A980" s="37"/>
      <c r="B980" s="15"/>
      <c r="C980" s="37"/>
      <c r="D980" s="37"/>
      <c r="E980" s="37"/>
      <c r="F980" s="37"/>
      <c r="G980" s="32"/>
      <c r="H980" s="32"/>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row>
    <row r="981" spans="1:46" ht="15">
      <c r="A981" s="37"/>
      <c r="B981" s="15"/>
      <c r="C981" s="37"/>
      <c r="D981" s="37"/>
      <c r="E981" s="37"/>
      <c r="F981" s="37"/>
      <c r="G981" s="32"/>
      <c r="H981" s="32"/>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row>
    <row r="982" spans="1:46" ht="15">
      <c r="A982" s="37"/>
      <c r="B982" s="15"/>
      <c r="C982" s="37"/>
      <c r="D982" s="37"/>
      <c r="E982" s="37"/>
      <c r="F982" s="37"/>
      <c r="G982" s="32"/>
      <c r="H982" s="32"/>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row>
    <row r="983" spans="1:46" ht="15">
      <c r="A983" s="37"/>
      <c r="B983" s="15"/>
      <c r="C983" s="37"/>
      <c r="D983" s="37"/>
      <c r="E983" s="37"/>
      <c r="F983" s="37"/>
      <c r="G983" s="32"/>
      <c r="H983" s="32"/>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row>
    <row r="984" spans="1:46" ht="15">
      <c r="A984" s="37"/>
      <c r="B984" s="15"/>
      <c r="C984" s="37"/>
      <c r="D984" s="37"/>
      <c r="E984" s="37"/>
      <c r="F984" s="37"/>
      <c r="G984" s="32"/>
      <c r="H984" s="32"/>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row>
    <row r="985" spans="1:46" ht="15">
      <c r="A985" s="37"/>
      <c r="B985" s="15"/>
      <c r="C985" s="37"/>
      <c r="D985" s="37"/>
      <c r="E985" s="37"/>
      <c r="F985" s="37"/>
      <c r="G985" s="32"/>
      <c r="H985" s="32"/>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row>
    <row r="986" spans="1:46" ht="15">
      <c r="A986" s="37"/>
      <c r="B986" s="15"/>
      <c r="C986" s="37"/>
      <c r="D986" s="37"/>
      <c r="E986" s="37"/>
      <c r="F986" s="37"/>
      <c r="G986" s="32"/>
      <c r="H986" s="32"/>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row>
    <row r="987" spans="1:46" ht="15">
      <c r="A987" s="37"/>
      <c r="B987" s="15"/>
      <c r="C987" s="37"/>
      <c r="D987" s="37"/>
      <c r="E987" s="37"/>
      <c r="F987" s="37"/>
      <c r="G987" s="32"/>
      <c r="H987" s="32"/>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row>
    <row r="988" spans="1:46" ht="15">
      <c r="A988" s="37"/>
      <c r="B988" s="15"/>
      <c r="C988" s="37"/>
      <c r="D988" s="37"/>
      <c r="E988" s="37"/>
      <c r="F988" s="37"/>
      <c r="G988" s="32"/>
      <c r="H988" s="32"/>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row>
    <row r="989" spans="1:46" ht="15">
      <c r="A989" s="37"/>
      <c r="B989" s="15"/>
      <c r="C989" s="37"/>
      <c r="D989" s="37"/>
      <c r="E989" s="37"/>
      <c r="F989" s="37"/>
      <c r="G989" s="32"/>
      <c r="H989" s="32"/>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row>
    <row r="990" spans="1:46" ht="15">
      <c r="A990" s="37"/>
      <c r="B990" s="15"/>
      <c r="C990" s="37"/>
      <c r="D990" s="37"/>
      <c r="E990" s="37"/>
      <c r="F990" s="37"/>
      <c r="G990" s="32"/>
      <c r="H990" s="32"/>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row>
    <row r="991" spans="1:46" ht="15">
      <c r="A991" s="37"/>
      <c r="B991" s="15"/>
      <c r="C991" s="37"/>
      <c r="D991" s="37"/>
      <c r="E991" s="37"/>
      <c r="F991" s="37"/>
      <c r="G991" s="32"/>
      <c r="H991" s="32"/>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row>
    <row r="992" spans="1:46" ht="15">
      <c r="A992" s="37"/>
      <c r="B992" s="15"/>
      <c r="C992" s="37"/>
      <c r="D992" s="37"/>
      <c r="E992" s="37"/>
      <c r="F992" s="37"/>
      <c r="G992" s="32"/>
      <c r="H992" s="32"/>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row>
    <row r="993" spans="1:46" ht="15">
      <c r="A993" s="37"/>
      <c r="B993" s="15"/>
      <c r="C993" s="37"/>
      <c r="D993" s="37"/>
      <c r="E993" s="37"/>
      <c r="F993" s="37"/>
      <c r="G993" s="32"/>
      <c r="H993" s="32"/>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row>
    <row r="994" spans="1:46" ht="15">
      <c r="A994" s="37"/>
      <c r="B994" s="15"/>
      <c r="C994" s="37"/>
      <c r="D994" s="37"/>
      <c r="E994" s="37"/>
      <c r="F994" s="37"/>
      <c r="G994" s="32"/>
      <c r="H994" s="32"/>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row>
    <row r="995" spans="1:46" ht="15">
      <c r="A995" s="37"/>
      <c r="B995" s="15"/>
      <c r="C995" s="37"/>
      <c r="D995" s="37"/>
      <c r="E995" s="37"/>
      <c r="F995" s="37"/>
      <c r="G995" s="32"/>
      <c r="H995" s="32"/>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row>
    <row r="996" spans="1:46" ht="15">
      <c r="A996" s="37"/>
      <c r="B996" s="15"/>
      <c r="C996" s="37"/>
      <c r="D996" s="37"/>
      <c r="E996" s="37"/>
      <c r="F996" s="37"/>
      <c r="G996" s="32"/>
      <c r="H996" s="32"/>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row>
    <row r="997" spans="1:46" ht="15">
      <c r="A997" s="37"/>
      <c r="B997" s="15"/>
      <c r="C997" s="37"/>
      <c r="D997" s="37"/>
      <c r="E997" s="37"/>
      <c r="F997" s="37"/>
      <c r="G997" s="32"/>
      <c r="H997" s="32"/>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row>
    <row r="998" spans="1:46" ht="15">
      <c r="A998" s="37"/>
      <c r="B998" s="15"/>
      <c r="C998" s="37"/>
      <c r="D998" s="37"/>
      <c r="E998" s="37"/>
      <c r="F998" s="37"/>
      <c r="G998" s="32"/>
      <c r="H998" s="32"/>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row>
    <row r="999" spans="1:46" ht="15">
      <c r="A999" s="37"/>
      <c r="B999" s="15"/>
      <c r="C999" s="37"/>
      <c r="D999" s="37"/>
      <c r="E999" s="37"/>
      <c r="F999" s="37"/>
      <c r="G999" s="32"/>
      <c r="H999" s="32"/>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row>
    <row r="1000" spans="1:46" ht="15">
      <c r="A1000" s="37"/>
      <c r="B1000" s="15"/>
      <c r="C1000" s="37"/>
      <c r="D1000" s="37"/>
      <c r="E1000" s="37"/>
      <c r="F1000" s="37"/>
      <c r="G1000" s="32"/>
      <c r="H1000" s="32"/>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row>
    <row r="1001" spans="1:46" ht="15">
      <c r="A1001" s="37"/>
      <c r="B1001" s="15"/>
      <c r="C1001" s="37"/>
      <c r="D1001" s="37"/>
      <c r="E1001" s="37"/>
      <c r="F1001" s="37"/>
      <c r="G1001" s="32"/>
      <c r="H1001" s="32"/>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row>
    <row r="1002" spans="1:46" ht="15">
      <c r="A1002" s="37"/>
      <c r="B1002" s="15"/>
      <c r="C1002" s="37"/>
      <c r="D1002" s="37"/>
      <c r="E1002" s="37"/>
      <c r="F1002" s="37"/>
      <c r="G1002" s="32"/>
      <c r="H1002" s="32"/>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row>
    <row r="1003" spans="1:46" ht="15">
      <c r="A1003" s="37"/>
      <c r="B1003" s="15"/>
      <c r="C1003" s="37"/>
      <c r="D1003" s="37"/>
      <c r="E1003" s="37"/>
      <c r="F1003" s="37"/>
      <c r="G1003" s="32"/>
      <c r="H1003" s="32"/>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row>
    <row r="1004" spans="1:46" ht="15">
      <c r="A1004" s="37"/>
      <c r="B1004" s="15"/>
      <c r="C1004" s="37"/>
      <c r="D1004" s="37"/>
      <c r="E1004" s="37"/>
      <c r="F1004" s="37"/>
      <c r="G1004" s="32"/>
      <c r="H1004" s="32"/>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row>
    <row r="1005" spans="1:46" ht="15">
      <c r="A1005" s="37"/>
      <c r="B1005" s="15"/>
      <c r="C1005" s="37"/>
      <c r="D1005" s="37"/>
      <c r="E1005" s="37"/>
      <c r="F1005" s="37"/>
      <c r="G1005" s="32"/>
      <c r="H1005" s="32"/>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row>
    <row r="1006" spans="1:46" ht="15">
      <c r="A1006" s="37"/>
      <c r="B1006" s="15"/>
      <c r="C1006" s="37"/>
      <c r="D1006" s="37"/>
      <c r="E1006" s="37"/>
      <c r="F1006" s="37"/>
      <c r="G1006" s="32"/>
      <c r="H1006" s="32"/>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row>
    <row r="1007" spans="1:46" ht="15">
      <c r="A1007" s="37"/>
      <c r="B1007" s="15"/>
      <c r="C1007" s="37"/>
      <c r="D1007" s="37"/>
      <c r="E1007" s="37"/>
      <c r="F1007" s="37"/>
      <c r="G1007" s="32"/>
      <c r="H1007" s="32"/>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row>
    <row r="1008" spans="1:46" ht="15">
      <c r="A1008" s="37"/>
      <c r="B1008" s="15"/>
      <c r="C1008" s="37"/>
      <c r="D1008" s="37"/>
      <c r="E1008" s="37"/>
      <c r="F1008" s="37"/>
      <c r="G1008" s="32"/>
      <c r="H1008" s="32"/>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row>
    <row r="1009" spans="25:46" ht="15">
      <c r="Y1009" s="75"/>
      <c r="AM1009" s="75"/>
      <c r="AN1009" s="15"/>
      <c r="AO1009" s="15"/>
      <c r="AP1009" s="15"/>
      <c r="AQ1009" s="15"/>
      <c r="AR1009" s="15"/>
      <c r="AS1009" s="15"/>
      <c r="AT1009" s="15"/>
    </row>
    <row r="1010" spans="25:46" ht="15">
      <c r="Y1010" s="75"/>
      <c r="AM1010" s="75"/>
      <c r="AN1010" s="15"/>
      <c r="AO1010" s="15"/>
      <c r="AP1010" s="15"/>
      <c r="AQ1010" s="15"/>
      <c r="AR1010" s="15"/>
      <c r="AS1010" s="15"/>
      <c r="AT1010" s="15"/>
    </row>
  </sheetData>
  <phoneticPr fontId="62" type="noConversion"/>
  <dataValidations count="4">
    <dataValidation type="list" allowBlank="1" sqref="AI47:AJ76 AL3:AL76 Y3:Y76 AI3:AJ45" xr:uid="{00000000-0002-0000-0000-000001000000}">
      <formula1>"Da,Ne"</formula1>
    </dataValidation>
    <dataValidation type="list" allowBlank="1" sqref="AM3:AM76" xr:uid="{00000000-0002-0000-0000-000000000000}">
      <formula1>"DA,NE"</formula1>
    </dataValidation>
    <dataValidation type="custom" allowBlank="1" showDropDown="1" sqref="AG3:AG76 Q3:Q76 O3:O76" xr:uid="{00000000-0002-0000-0000-000002000000}">
      <formula1>AND(ISNUMBER(O3),(NOT(OR(NOT(ISERROR(DATEVALUE(O3))), AND(ISNUMBER(O3), LEFT(CELL("format", O3))="D")))))</formula1>
    </dataValidation>
    <dataValidation allowBlank="1" showDropDown="1" sqref="H3:H76" xr:uid="{00000000-0002-0000-0000-000003000000}"/>
  </dataValidations>
  <hyperlinks>
    <hyperlink ref="G65" r:id="rId1" xr:uid="{00000000-0004-0000-0000-000000000000}"/>
  </hyperlinks>
  <printOptions horizontalCentered="1" gridLines="1"/>
  <pageMargins left="0.7" right="0.7" top="0.75" bottom="0.75" header="0" footer="0"/>
  <pageSetup paperSize="9" fitToWidth="0" pageOrder="overThenDown" orientation="portrait" cellComments="atEnd"/>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996"/>
  <sheetViews>
    <sheetView workbookViewId="0">
      <pane xSplit="1" ySplit="2" topLeftCell="B4" activePane="bottomRight" state="frozen"/>
      <selection pane="topRight" activeCell="B1" sqref="B1"/>
      <selection pane="bottomLeft" activeCell="A3" sqref="A3"/>
      <selection pane="bottomRight" activeCell="B3" sqref="B3"/>
    </sheetView>
  </sheetViews>
  <sheetFormatPr defaultColWidth="12.6640625" defaultRowHeight="15.75" customHeight="1"/>
  <cols>
    <col min="1" max="1" width="19" customWidth="1"/>
    <col min="2" max="2" width="12.21875" customWidth="1"/>
    <col min="3" max="3" width="18.21875" customWidth="1"/>
    <col min="4" max="4" width="28.44140625" customWidth="1"/>
    <col min="5" max="5" width="39.6640625" customWidth="1"/>
    <col min="6" max="6" width="35.44140625" customWidth="1"/>
    <col min="7" max="7" width="34.33203125" customWidth="1"/>
    <col min="8" max="8" width="21.44140625" customWidth="1"/>
    <col min="9" max="9" width="19.6640625" customWidth="1"/>
    <col min="10" max="10" width="24" customWidth="1"/>
    <col min="11" max="11" width="28.77734375" customWidth="1"/>
    <col min="12" max="12" width="23.6640625" customWidth="1"/>
    <col min="13" max="13" width="21.109375" customWidth="1"/>
    <col min="14" max="14" width="18.21875" customWidth="1"/>
    <col min="15" max="15" width="19.6640625" customWidth="1"/>
    <col min="16" max="16" width="35.77734375" customWidth="1"/>
    <col min="17" max="17" width="18.88671875" customWidth="1"/>
    <col min="18" max="18" width="17.21875" customWidth="1"/>
    <col min="19" max="19" width="20.77734375" customWidth="1"/>
    <col min="20" max="20" width="30" customWidth="1"/>
    <col min="21" max="21" width="19.6640625" customWidth="1"/>
    <col min="22" max="22" width="14.6640625" customWidth="1"/>
    <col min="23" max="23" width="13.6640625" customWidth="1"/>
    <col min="24" max="24" width="12.21875" customWidth="1"/>
    <col min="25" max="25" width="16.33203125" customWidth="1"/>
    <col min="26" max="26" width="13.77734375" customWidth="1"/>
    <col min="27" max="27" width="27.33203125" customWidth="1"/>
    <col min="28" max="28" width="23.21875" customWidth="1"/>
    <col min="29" max="30" width="19.6640625" customWidth="1"/>
    <col min="32" max="32" width="13.6640625" customWidth="1"/>
    <col min="33" max="33" width="20.6640625" customWidth="1"/>
    <col min="34" max="34" width="19.88671875" customWidth="1"/>
    <col min="35" max="35" width="16.77734375" customWidth="1"/>
    <col min="36" max="36" width="16.6640625" customWidth="1"/>
    <col min="37" max="37" width="15" customWidth="1"/>
  </cols>
  <sheetData>
    <row r="1" spans="1:44" ht="61.5" customHeight="1">
      <c r="A1" s="1"/>
      <c r="B1" s="2"/>
      <c r="C1" s="1"/>
      <c r="D1" s="1"/>
      <c r="E1" s="1"/>
      <c r="F1" s="1"/>
      <c r="G1" s="1"/>
      <c r="H1" s="3"/>
      <c r="I1" s="1"/>
      <c r="J1" s="1"/>
      <c r="K1" s="1"/>
      <c r="L1" s="1"/>
      <c r="M1" s="1"/>
      <c r="N1" s="1"/>
      <c r="O1" s="1"/>
      <c r="P1" s="1"/>
      <c r="Q1" s="1"/>
      <c r="R1" s="1"/>
      <c r="S1" s="1"/>
      <c r="T1" s="1"/>
      <c r="U1" s="1"/>
      <c r="V1" s="1"/>
      <c r="W1" s="1"/>
      <c r="X1" s="1"/>
      <c r="Y1" s="1"/>
      <c r="Z1" s="1"/>
      <c r="AA1" s="1"/>
      <c r="AB1" s="1"/>
      <c r="AC1" s="1"/>
      <c r="AD1" s="1"/>
      <c r="AE1" s="1"/>
      <c r="AF1" s="1"/>
      <c r="AG1" s="1"/>
      <c r="AH1" s="1"/>
      <c r="AI1" s="2"/>
      <c r="AJ1" s="2"/>
      <c r="AK1" s="1"/>
      <c r="AL1" s="2"/>
      <c r="AM1" s="2"/>
      <c r="AN1" s="2"/>
      <c r="AO1" s="2"/>
      <c r="AP1" s="2"/>
      <c r="AQ1" s="2"/>
      <c r="AR1" s="2"/>
    </row>
    <row r="2" spans="1:44" ht="61.5" customHeight="1">
      <c r="A2" s="4" t="s">
        <v>0</v>
      </c>
      <c r="B2" s="1" t="s">
        <v>1</v>
      </c>
      <c r="C2" s="4" t="s">
        <v>2</v>
      </c>
      <c r="D2" s="4" t="s">
        <v>3</v>
      </c>
      <c r="E2" s="4" t="s">
        <v>4</v>
      </c>
      <c r="F2" s="4" t="s">
        <v>5</v>
      </c>
      <c r="G2" s="4" t="s">
        <v>6</v>
      </c>
      <c r="H2" s="5" t="s">
        <v>7</v>
      </c>
      <c r="I2" s="1" t="s">
        <v>525</v>
      </c>
      <c r="J2" s="1" t="s">
        <v>526</v>
      </c>
      <c r="K2" s="1" t="s">
        <v>527</v>
      </c>
      <c r="L2" s="1" t="s">
        <v>8</v>
      </c>
      <c r="M2" s="1" t="s">
        <v>9</v>
      </c>
      <c r="N2" s="1" t="s">
        <v>10</v>
      </c>
      <c r="O2" s="1" t="s">
        <v>11</v>
      </c>
      <c r="P2" s="1" t="s">
        <v>12</v>
      </c>
      <c r="Q2" s="1" t="s">
        <v>13</v>
      </c>
      <c r="R2" s="1" t="s">
        <v>14</v>
      </c>
      <c r="S2" s="1" t="s">
        <v>15</v>
      </c>
      <c r="T2" s="1" t="s">
        <v>16</v>
      </c>
      <c r="U2" s="1" t="s">
        <v>17</v>
      </c>
      <c r="V2" s="1" t="s">
        <v>18</v>
      </c>
      <c r="W2" s="1" t="s">
        <v>19</v>
      </c>
      <c r="X2" s="1" t="s">
        <v>20</v>
      </c>
      <c r="Y2" s="1" t="s">
        <v>21</v>
      </c>
      <c r="Z2" s="1" t="s">
        <v>22</v>
      </c>
      <c r="AA2" s="1" t="s">
        <v>23</v>
      </c>
      <c r="AB2" s="1" t="s">
        <v>24</v>
      </c>
      <c r="AC2" s="1" t="s">
        <v>25</v>
      </c>
      <c r="AD2" s="1" t="s">
        <v>26</v>
      </c>
      <c r="AE2" s="1" t="s">
        <v>28</v>
      </c>
      <c r="AF2" s="6" t="s">
        <v>29</v>
      </c>
      <c r="AG2" s="1" t="s">
        <v>31</v>
      </c>
      <c r="AH2" s="1" t="s">
        <v>528</v>
      </c>
      <c r="AI2" s="1" t="s">
        <v>34</v>
      </c>
      <c r="AJ2" s="1" t="s">
        <v>35</v>
      </c>
      <c r="AK2" s="1" t="s">
        <v>37</v>
      </c>
      <c r="AL2" s="2"/>
      <c r="AM2" s="2"/>
      <c r="AN2" s="2"/>
      <c r="AO2" s="2"/>
      <c r="AP2" s="2"/>
      <c r="AQ2" s="2"/>
      <c r="AR2" s="2"/>
    </row>
    <row r="3" spans="1:44" ht="22.5" hidden="1" customHeight="1">
      <c r="A3" s="7" t="s">
        <v>39</v>
      </c>
      <c r="B3" s="7" t="str">
        <f t="shared" ref="B3:B63" si="0">IF(Z3&lt;4, "⚙️",IF(AND(Z3&gt;3, Z3&lt;7), "🥈",IF(AND(Z3&gt;6, Z3&lt;9), "🏆",IF(Z3&gt;8, "💎",0))))</f>
        <v>⚙️</v>
      </c>
      <c r="C3" s="4" t="s">
        <v>40</v>
      </c>
      <c r="D3" s="7" t="s">
        <v>41</v>
      </c>
      <c r="E3" s="7" t="s">
        <v>42</v>
      </c>
      <c r="F3" s="7" t="s">
        <v>43</v>
      </c>
      <c r="G3" s="8"/>
      <c r="H3" s="8" t="s">
        <v>44</v>
      </c>
      <c r="I3" s="7"/>
      <c r="J3" s="7"/>
      <c r="K3" s="7"/>
      <c r="L3" s="7">
        <v>1</v>
      </c>
      <c r="M3" s="7">
        <v>35</v>
      </c>
      <c r="N3" s="7"/>
      <c r="O3" s="7">
        <v>1</v>
      </c>
      <c r="P3" s="9"/>
      <c r="Q3" s="7"/>
      <c r="R3" s="10">
        <f t="shared" ref="R3:R63" si="1">L3/(AH3*0.0951)</f>
        <v>2.1317858955331964E-4</v>
      </c>
      <c r="S3" s="7">
        <f t="shared" ref="S3:S63" si="2">IF(R3&lt;0.01,0,IF(R3&gt;0.03,3,2))</f>
        <v>0</v>
      </c>
      <c r="T3" s="11">
        <f t="shared" ref="T3:T50" si="3">(L3-O3)/O3</f>
        <v>0</v>
      </c>
      <c r="U3" s="7">
        <f t="shared" ref="U3:U63" si="4">IF(T3&lt;0,0,IF(T3&gt;0.1,2,1))</f>
        <v>1</v>
      </c>
      <c r="V3" s="7">
        <v>0</v>
      </c>
      <c r="W3" s="7">
        <v>0</v>
      </c>
      <c r="X3" s="7">
        <v>0</v>
      </c>
      <c r="Y3" s="7">
        <v>0</v>
      </c>
      <c r="Z3" s="7">
        <f t="shared" ref="Z3:Z63" si="5">S3+U3+V3+W3+X3+Y3</f>
        <v>1</v>
      </c>
      <c r="AA3" s="7"/>
      <c r="AB3" s="7" t="s">
        <v>45</v>
      </c>
      <c r="AC3" s="7"/>
      <c r="AD3" s="7"/>
      <c r="AE3" s="7"/>
      <c r="AF3" s="7"/>
      <c r="AG3" s="7"/>
      <c r="AH3" s="7">
        <v>49326</v>
      </c>
      <c r="AI3" s="7"/>
      <c r="AJ3" s="7"/>
      <c r="AK3" s="7" t="s">
        <v>45</v>
      </c>
      <c r="AL3" s="15"/>
      <c r="AM3" s="15"/>
      <c r="AN3" s="15"/>
      <c r="AO3" s="15"/>
      <c r="AP3" s="15"/>
      <c r="AQ3" s="15"/>
      <c r="AR3" s="15"/>
    </row>
    <row r="4" spans="1:44" ht="22.5" customHeight="1">
      <c r="A4" s="4" t="s">
        <v>314</v>
      </c>
      <c r="B4" s="7" t="str">
        <f t="shared" si="0"/>
        <v>⚙️</v>
      </c>
      <c r="C4" s="4" t="s">
        <v>40</v>
      </c>
      <c r="D4" s="4" t="s">
        <v>300</v>
      </c>
      <c r="E4" s="4" t="s">
        <v>301</v>
      </c>
      <c r="F4" s="4" t="s">
        <v>315</v>
      </c>
      <c r="G4" s="8" t="s">
        <v>303</v>
      </c>
      <c r="H4" s="8" t="s">
        <v>304</v>
      </c>
      <c r="I4" s="7"/>
      <c r="J4" s="7"/>
      <c r="K4" s="7"/>
      <c r="L4" s="7">
        <v>42</v>
      </c>
      <c r="M4" s="7">
        <v>43</v>
      </c>
      <c r="N4" s="7"/>
      <c r="O4" s="7">
        <v>52</v>
      </c>
      <c r="P4" s="16" t="s">
        <v>316</v>
      </c>
      <c r="Q4" s="17">
        <v>3000</v>
      </c>
      <c r="R4" s="10">
        <f t="shared" si="1"/>
        <v>6.2362729609547838E-3</v>
      </c>
      <c r="S4" s="7">
        <f t="shared" si="2"/>
        <v>0</v>
      </c>
      <c r="T4" s="11">
        <f t="shared" si="3"/>
        <v>-0.19230769230769232</v>
      </c>
      <c r="U4" s="7">
        <f t="shared" si="4"/>
        <v>0</v>
      </c>
      <c r="V4" s="7">
        <v>0</v>
      </c>
      <c r="W4" s="7">
        <v>0</v>
      </c>
      <c r="X4" s="7">
        <v>1</v>
      </c>
      <c r="Y4" s="7">
        <v>0</v>
      </c>
      <c r="Z4" s="7">
        <f t="shared" si="5"/>
        <v>1</v>
      </c>
      <c r="AA4" s="7"/>
      <c r="AB4" s="7" t="s">
        <v>45</v>
      </c>
      <c r="AC4" s="7">
        <v>57</v>
      </c>
      <c r="AD4" s="7">
        <v>52</v>
      </c>
      <c r="AE4" s="7"/>
      <c r="AF4" s="7" t="s">
        <v>53</v>
      </c>
      <c r="AG4" s="7"/>
      <c r="AH4" s="7">
        <v>70818</v>
      </c>
      <c r="AI4" s="7"/>
      <c r="AJ4" s="7"/>
      <c r="AK4" s="7" t="s">
        <v>57</v>
      </c>
      <c r="AL4" s="15"/>
      <c r="AM4" s="15"/>
      <c r="AN4" s="15"/>
      <c r="AO4" s="15"/>
      <c r="AP4" s="15"/>
      <c r="AQ4" s="15"/>
      <c r="AR4" s="15"/>
    </row>
    <row r="5" spans="1:44" ht="22.5" customHeight="1">
      <c r="A5" s="4" t="s">
        <v>259</v>
      </c>
      <c r="B5" s="7" t="str">
        <f t="shared" si="0"/>
        <v>⚙️</v>
      </c>
      <c r="C5" s="4" t="s">
        <v>40</v>
      </c>
      <c r="D5" s="4" t="s">
        <v>147</v>
      </c>
      <c r="E5" s="4" t="s">
        <v>148</v>
      </c>
      <c r="F5" s="4" t="s">
        <v>149</v>
      </c>
      <c r="G5" s="8"/>
      <c r="H5" s="8" t="s">
        <v>260</v>
      </c>
      <c r="I5" s="7"/>
      <c r="J5" s="7"/>
      <c r="K5" s="7"/>
      <c r="L5" s="7">
        <v>23</v>
      </c>
      <c r="M5" s="7">
        <v>27</v>
      </c>
      <c r="N5" s="7"/>
      <c r="O5" s="7">
        <v>36</v>
      </c>
      <c r="P5" s="76" t="s">
        <v>529</v>
      </c>
      <c r="Q5" s="17">
        <v>3000</v>
      </c>
      <c r="R5" s="10">
        <f t="shared" si="1"/>
        <v>7.8827510019576288E-3</v>
      </c>
      <c r="S5" s="7">
        <f t="shared" si="2"/>
        <v>0</v>
      </c>
      <c r="T5" s="11">
        <f t="shared" si="3"/>
        <v>-0.3611111111111111</v>
      </c>
      <c r="U5" s="7">
        <f t="shared" si="4"/>
        <v>0</v>
      </c>
      <c r="V5" s="7">
        <v>0</v>
      </c>
      <c r="W5" s="7">
        <v>1</v>
      </c>
      <c r="X5" s="7">
        <v>1</v>
      </c>
      <c r="Y5" s="7">
        <v>0</v>
      </c>
      <c r="Z5" s="7">
        <f t="shared" si="5"/>
        <v>2</v>
      </c>
      <c r="AA5" s="7"/>
      <c r="AB5" s="7" t="s">
        <v>57</v>
      </c>
      <c r="AC5" s="7"/>
      <c r="AD5" s="7">
        <v>36</v>
      </c>
      <c r="AE5" s="7" t="s">
        <v>262</v>
      </c>
      <c r="AF5" s="7" t="s">
        <v>53</v>
      </c>
      <c r="AG5" s="7" t="s">
        <v>86</v>
      </c>
      <c r="AH5" s="37">
        <v>30681</v>
      </c>
      <c r="AI5" s="7" t="s">
        <v>57</v>
      </c>
      <c r="AJ5" s="7" t="s">
        <v>57</v>
      </c>
      <c r="AK5" s="7" t="s">
        <v>57</v>
      </c>
      <c r="AL5" s="15"/>
      <c r="AM5" s="15"/>
      <c r="AN5" s="15"/>
      <c r="AO5" s="15"/>
      <c r="AP5" s="15"/>
      <c r="AQ5" s="15"/>
      <c r="AR5" s="15"/>
    </row>
    <row r="6" spans="1:44" ht="22.5" customHeight="1">
      <c r="A6" s="4" t="s">
        <v>263</v>
      </c>
      <c r="B6" s="7" t="str">
        <f t="shared" si="0"/>
        <v>⚙️</v>
      </c>
      <c r="C6" s="4" t="s">
        <v>40</v>
      </c>
      <c r="D6" s="4" t="s">
        <v>264</v>
      </c>
      <c r="E6" s="7" t="s">
        <v>265</v>
      </c>
      <c r="F6" s="4" t="s">
        <v>266</v>
      </c>
      <c r="G6" s="8" t="s">
        <v>267</v>
      </c>
      <c r="H6" s="8" t="s">
        <v>268</v>
      </c>
      <c r="I6" s="7"/>
      <c r="J6" s="7"/>
      <c r="K6" s="7"/>
      <c r="L6" s="7">
        <v>54</v>
      </c>
      <c r="M6" s="7">
        <v>61</v>
      </c>
      <c r="N6" s="7"/>
      <c r="O6" s="7">
        <v>58</v>
      </c>
      <c r="P6" s="27" t="s">
        <v>269</v>
      </c>
      <c r="Q6" s="17">
        <v>3500</v>
      </c>
      <c r="R6" s="10">
        <f t="shared" si="1"/>
        <v>7.8234133900327973E-3</v>
      </c>
      <c r="S6" s="7">
        <f t="shared" si="2"/>
        <v>0</v>
      </c>
      <c r="T6" s="11">
        <f t="shared" si="3"/>
        <v>-6.8965517241379309E-2</v>
      </c>
      <c r="U6" s="7">
        <f t="shared" si="4"/>
        <v>0</v>
      </c>
      <c r="V6" s="7">
        <v>0</v>
      </c>
      <c r="W6" s="7">
        <v>1</v>
      </c>
      <c r="X6" s="7">
        <v>1</v>
      </c>
      <c r="Y6" s="7">
        <v>0</v>
      </c>
      <c r="Z6" s="7">
        <f t="shared" si="5"/>
        <v>2</v>
      </c>
      <c r="AA6" s="7"/>
      <c r="AB6" s="7" t="s">
        <v>45</v>
      </c>
      <c r="AC6" s="7"/>
      <c r="AD6" s="7">
        <v>58</v>
      </c>
      <c r="AE6" s="7"/>
      <c r="AF6" s="7" t="s">
        <v>53</v>
      </c>
      <c r="AG6" s="7"/>
      <c r="AH6" s="7">
        <v>72580</v>
      </c>
      <c r="AI6" s="7"/>
      <c r="AJ6" s="7"/>
      <c r="AK6" s="7" t="s">
        <v>57</v>
      </c>
      <c r="AL6" s="15"/>
      <c r="AM6" s="15"/>
      <c r="AN6" s="15"/>
      <c r="AO6" s="15"/>
      <c r="AP6" s="15"/>
      <c r="AQ6" s="15"/>
      <c r="AR6" s="15"/>
    </row>
    <row r="7" spans="1:44" ht="22.5" customHeight="1">
      <c r="A7" s="4" t="s">
        <v>271</v>
      </c>
      <c r="B7" s="7" t="str">
        <f t="shared" si="0"/>
        <v>⚙️</v>
      </c>
      <c r="C7" s="4" t="s">
        <v>40</v>
      </c>
      <c r="D7" s="4" t="s">
        <v>530</v>
      </c>
      <c r="E7" s="4" t="s">
        <v>531</v>
      </c>
      <c r="F7" s="4" t="s">
        <v>273</v>
      </c>
      <c r="G7" s="8" t="s">
        <v>274</v>
      </c>
      <c r="H7" s="8" t="s">
        <v>532</v>
      </c>
      <c r="I7" s="7"/>
      <c r="J7" s="7"/>
      <c r="K7" s="7"/>
      <c r="L7" s="7">
        <v>170</v>
      </c>
      <c r="M7" s="7">
        <v>167</v>
      </c>
      <c r="N7" s="7"/>
      <c r="O7" s="7">
        <v>236</v>
      </c>
      <c r="P7" s="19" t="s">
        <v>533</v>
      </c>
      <c r="Q7" s="7"/>
      <c r="R7" s="10">
        <f t="shared" si="1"/>
        <v>6.3785847885708688E-3</v>
      </c>
      <c r="S7" s="7">
        <f t="shared" si="2"/>
        <v>0</v>
      </c>
      <c r="T7" s="11">
        <f t="shared" si="3"/>
        <v>-0.27966101694915252</v>
      </c>
      <c r="U7" s="7">
        <f t="shared" si="4"/>
        <v>0</v>
      </c>
      <c r="V7" s="7">
        <v>0</v>
      </c>
      <c r="W7" s="7">
        <v>1</v>
      </c>
      <c r="X7" s="7">
        <v>1</v>
      </c>
      <c r="Y7" s="7">
        <v>0</v>
      </c>
      <c r="Z7" s="7">
        <f t="shared" si="5"/>
        <v>2</v>
      </c>
      <c r="AA7" s="7"/>
      <c r="AB7" s="7" t="s">
        <v>45</v>
      </c>
      <c r="AC7" s="7">
        <v>164</v>
      </c>
      <c r="AD7" s="7">
        <v>236</v>
      </c>
      <c r="AE7" s="7" t="s">
        <v>275</v>
      </c>
      <c r="AF7" s="7" t="s">
        <v>53</v>
      </c>
      <c r="AG7" s="7"/>
      <c r="AH7" s="7">
        <v>280249</v>
      </c>
      <c r="AI7" s="7"/>
      <c r="AJ7" s="7"/>
      <c r="AK7" s="7" t="s">
        <v>57</v>
      </c>
      <c r="AL7" s="15"/>
      <c r="AM7" s="15"/>
      <c r="AN7" s="15"/>
      <c r="AO7" s="15"/>
      <c r="AP7" s="15"/>
      <c r="AQ7" s="15"/>
      <c r="AR7" s="15"/>
    </row>
    <row r="8" spans="1:44" ht="22.5" customHeight="1">
      <c r="A8" s="4" t="s">
        <v>276</v>
      </c>
      <c r="B8" s="7" t="str">
        <f t="shared" si="0"/>
        <v>⚙️</v>
      </c>
      <c r="C8" s="4" t="s">
        <v>40</v>
      </c>
      <c r="D8" s="4" t="s">
        <v>194</v>
      </c>
      <c r="E8" s="4" t="s">
        <v>195</v>
      </c>
      <c r="F8" s="4" t="s">
        <v>277</v>
      </c>
      <c r="G8" s="8"/>
      <c r="H8" s="8" t="s">
        <v>197</v>
      </c>
      <c r="I8" s="7"/>
      <c r="J8" s="7"/>
      <c r="K8" s="7"/>
      <c r="L8" s="7">
        <v>14</v>
      </c>
      <c r="M8" s="7">
        <v>14</v>
      </c>
      <c r="N8" s="7"/>
      <c r="O8" s="7">
        <v>42</v>
      </c>
      <c r="P8" s="22" t="s">
        <v>278</v>
      </c>
      <c r="Q8" s="17">
        <v>2700</v>
      </c>
      <c r="R8" s="10">
        <f t="shared" si="1"/>
        <v>7.6938151727970428E-3</v>
      </c>
      <c r="S8" s="7">
        <f t="shared" si="2"/>
        <v>0</v>
      </c>
      <c r="T8" s="11">
        <f t="shared" si="3"/>
        <v>-0.66666666666666663</v>
      </c>
      <c r="U8" s="7">
        <f t="shared" si="4"/>
        <v>0</v>
      </c>
      <c r="V8" s="7">
        <v>0</v>
      </c>
      <c r="W8" s="7">
        <v>1</v>
      </c>
      <c r="X8" s="7">
        <v>1</v>
      </c>
      <c r="Y8" s="7">
        <v>0</v>
      </c>
      <c r="Z8" s="7">
        <f t="shared" si="5"/>
        <v>2</v>
      </c>
      <c r="AA8" s="7"/>
      <c r="AB8" s="7" t="s">
        <v>45</v>
      </c>
      <c r="AC8" s="7">
        <v>77</v>
      </c>
      <c r="AD8" s="7">
        <v>42</v>
      </c>
      <c r="AE8" s="7" t="s">
        <v>279</v>
      </c>
      <c r="AF8" s="7" t="s">
        <v>53</v>
      </c>
      <c r="AG8" s="7" t="s">
        <v>153</v>
      </c>
      <c r="AH8" s="7">
        <v>19134</v>
      </c>
      <c r="AI8" s="7" t="s">
        <v>57</v>
      </c>
      <c r="AJ8" s="7" t="s">
        <v>57</v>
      </c>
      <c r="AK8" s="7" t="s">
        <v>57</v>
      </c>
      <c r="AL8" s="15"/>
      <c r="AM8" s="15"/>
      <c r="AN8" s="15"/>
      <c r="AO8" s="15"/>
      <c r="AP8" s="15"/>
      <c r="AQ8" s="15"/>
      <c r="AR8" s="15"/>
    </row>
    <row r="9" spans="1:44" ht="22.5" customHeight="1">
      <c r="A9" s="4" t="s">
        <v>280</v>
      </c>
      <c r="B9" s="7" t="str">
        <f t="shared" si="0"/>
        <v>⚙️</v>
      </c>
      <c r="C9" s="4" t="s">
        <v>40</v>
      </c>
      <c r="D9" s="4" t="s">
        <v>281</v>
      </c>
      <c r="E9" s="7" t="s">
        <v>282</v>
      </c>
      <c r="F9" s="4" t="s">
        <v>283</v>
      </c>
      <c r="G9" s="4" t="s">
        <v>284</v>
      </c>
      <c r="H9" s="8" t="s">
        <v>285</v>
      </c>
      <c r="I9" s="7"/>
      <c r="J9" s="7"/>
      <c r="K9" s="7"/>
      <c r="L9" s="7">
        <v>48</v>
      </c>
      <c r="M9" s="7">
        <v>43</v>
      </c>
      <c r="N9" s="7"/>
      <c r="O9" s="7">
        <v>55</v>
      </c>
      <c r="P9" s="27" t="s">
        <v>286</v>
      </c>
      <c r="Q9" s="17">
        <v>3400</v>
      </c>
      <c r="R9" s="10">
        <f t="shared" si="1"/>
        <v>4.7791146952878292E-3</v>
      </c>
      <c r="S9" s="7">
        <f t="shared" si="2"/>
        <v>0</v>
      </c>
      <c r="T9" s="11">
        <f t="shared" si="3"/>
        <v>-0.12727272727272726</v>
      </c>
      <c r="U9" s="7">
        <f t="shared" si="4"/>
        <v>0</v>
      </c>
      <c r="V9" s="7">
        <v>0</v>
      </c>
      <c r="W9" s="7">
        <v>1</v>
      </c>
      <c r="X9" s="7">
        <v>1</v>
      </c>
      <c r="Y9" s="7">
        <v>0</v>
      </c>
      <c r="Z9" s="7">
        <f t="shared" si="5"/>
        <v>2</v>
      </c>
      <c r="AA9" s="7"/>
      <c r="AB9" s="7" t="s">
        <v>57</v>
      </c>
      <c r="AC9" s="7">
        <v>29</v>
      </c>
      <c r="AD9" s="7">
        <v>55</v>
      </c>
      <c r="AE9" s="7" t="s">
        <v>287</v>
      </c>
      <c r="AF9" s="7" t="s">
        <v>53</v>
      </c>
      <c r="AG9" s="7"/>
      <c r="AH9" s="7">
        <v>105612</v>
      </c>
      <c r="AI9" s="7" t="s">
        <v>57</v>
      </c>
      <c r="AJ9" s="7" t="s">
        <v>57</v>
      </c>
      <c r="AK9" s="7" t="s">
        <v>57</v>
      </c>
      <c r="AL9" s="15"/>
      <c r="AM9" s="15"/>
      <c r="AN9" s="15"/>
      <c r="AO9" s="15"/>
      <c r="AP9" s="15"/>
      <c r="AQ9" s="15"/>
      <c r="AR9" s="15"/>
    </row>
    <row r="10" spans="1:44" ht="22.5" customHeight="1">
      <c r="A10" s="4" t="s">
        <v>289</v>
      </c>
      <c r="B10" s="7" t="str">
        <f t="shared" si="0"/>
        <v>⚙️</v>
      </c>
      <c r="C10" s="4" t="s">
        <v>40</v>
      </c>
      <c r="D10" s="4" t="s">
        <v>290</v>
      </c>
      <c r="E10" s="7" t="s">
        <v>291</v>
      </c>
      <c r="F10" s="4" t="s">
        <v>292</v>
      </c>
      <c r="G10" s="8" t="s">
        <v>293</v>
      </c>
      <c r="H10" s="8" t="s">
        <v>294</v>
      </c>
      <c r="I10" s="7"/>
      <c r="J10" s="7"/>
      <c r="K10" s="7"/>
      <c r="L10" s="7">
        <v>29</v>
      </c>
      <c r="M10" s="7">
        <v>29</v>
      </c>
      <c r="N10" s="7"/>
      <c r="O10" s="7">
        <v>36</v>
      </c>
      <c r="P10" s="34" t="s">
        <v>295</v>
      </c>
      <c r="Q10" s="7" t="s">
        <v>296</v>
      </c>
      <c r="R10" s="10">
        <f t="shared" si="1"/>
        <v>4.231663930239298E-3</v>
      </c>
      <c r="S10" s="7">
        <f t="shared" si="2"/>
        <v>0</v>
      </c>
      <c r="T10" s="11">
        <f t="shared" si="3"/>
        <v>-0.19444444444444445</v>
      </c>
      <c r="U10" s="7">
        <f t="shared" si="4"/>
        <v>0</v>
      </c>
      <c r="V10" s="7">
        <v>0</v>
      </c>
      <c r="W10" s="7">
        <v>1</v>
      </c>
      <c r="X10" s="7">
        <v>1</v>
      </c>
      <c r="Y10" s="7">
        <v>0</v>
      </c>
      <c r="Z10" s="7">
        <f t="shared" si="5"/>
        <v>2</v>
      </c>
      <c r="AA10" s="7"/>
      <c r="AB10" s="7" t="s">
        <v>45</v>
      </c>
      <c r="AC10" s="7">
        <v>47</v>
      </c>
      <c r="AD10" s="7">
        <v>36</v>
      </c>
      <c r="AE10" s="7"/>
      <c r="AF10" s="7" t="s">
        <v>53</v>
      </c>
      <c r="AG10" s="7"/>
      <c r="AH10" s="7">
        <v>72062</v>
      </c>
      <c r="AI10" s="7"/>
      <c r="AJ10" s="7"/>
      <c r="AK10" s="7" t="s">
        <v>57</v>
      </c>
      <c r="AL10" s="15"/>
      <c r="AM10" s="15"/>
      <c r="AN10" s="15"/>
      <c r="AO10" s="15"/>
      <c r="AP10" s="15"/>
      <c r="AQ10" s="15"/>
      <c r="AR10" s="15"/>
    </row>
    <row r="11" spans="1:44" ht="22.5" customHeight="1">
      <c r="A11" s="4" t="s">
        <v>299</v>
      </c>
      <c r="B11" s="7" t="str">
        <f t="shared" si="0"/>
        <v>⚙️</v>
      </c>
      <c r="C11" s="4" t="s">
        <v>40</v>
      </c>
      <c r="D11" s="7" t="s">
        <v>300</v>
      </c>
      <c r="E11" s="7" t="s">
        <v>301</v>
      </c>
      <c r="F11" s="4" t="s">
        <v>302</v>
      </c>
      <c r="G11" s="8" t="s">
        <v>303</v>
      </c>
      <c r="H11" s="8" t="s">
        <v>304</v>
      </c>
      <c r="I11" s="7"/>
      <c r="J11" s="7"/>
      <c r="K11" s="7"/>
      <c r="L11" s="7">
        <v>46</v>
      </c>
      <c r="M11" s="7">
        <v>40</v>
      </c>
      <c r="N11" s="7"/>
      <c r="O11" s="7">
        <v>53</v>
      </c>
      <c r="P11" s="22" t="s">
        <v>305</v>
      </c>
      <c r="Q11" s="17">
        <v>3500</v>
      </c>
      <c r="R11" s="10">
        <f t="shared" si="1"/>
        <v>3.902328054263941E-3</v>
      </c>
      <c r="S11" s="7">
        <f t="shared" si="2"/>
        <v>0</v>
      </c>
      <c r="T11" s="11">
        <f t="shared" si="3"/>
        <v>-0.13207547169811321</v>
      </c>
      <c r="U11" s="7">
        <f t="shared" si="4"/>
        <v>0</v>
      </c>
      <c r="V11" s="7">
        <v>0</v>
      </c>
      <c r="W11" s="7">
        <v>1</v>
      </c>
      <c r="X11" s="7">
        <v>1</v>
      </c>
      <c r="Y11" s="7">
        <v>0</v>
      </c>
      <c r="Z11" s="7">
        <f t="shared" si="5"/>
        <v>2</v>
      </c>
      <c r="AA11" s="7"/>
      <c r="AB11" s="7" t="s">
        <v>45</v>
      </c>
      <c r="AC11" s="7">
        <v>57</v>
      </c>
      <c r="AD11" s="7">
        <v>53</v>
      </c>
      <c r="AE11" s="7" t="s">
        <v>306</v>
      </c>
      <c r="AF11" s="7" t="s">
        <v>53</v>
      </c>
      <c r="AG11" s="7"/>
      <c r="AH11" s="7">
        <v>123952</v>
      </c>
      <c r="AI11" s="7"/>
      <c r="AJ11" s="7"/>
      <c r="AK11" s="7" t="s">
        <v>57</v>
      </c>
      <c r="AL11" s="15"/>
      <c r="AM11" s="15"/>
      <c r="AN11" s="15"/>
      <c r="AO11" s="15"/>
      <c r="AP11" s="15"/>
      <c r="AQ11" s="15"/>
      <c r="AR11" s="15"/>
    </row>
    <row r="12" spans="1:44" ht="22.5" customHeight="1">
      <c r="A12" s="7" t="s">
        <v>309</v>
      </c>
      <c r="B12" s="7" t="str">
        <f t="shared" si="0"/>
        <v>⚙️</v>
      </c>
      <c r="C12" s="4" t="s">
        <v>40</v>
      </c>
      <c r="D12" s="7" t="s">
        <v>80</v>
      </c>
      <c r="E12" s="7" t="s">
        <v>81</v>
      </c>
      <c r="F12" s="4" t="s">
        <v>310</v>
      </c>
      <c r="G12" s="8"/>
      <c r="H12" s="8" t="s">
        <v>83</v>
      </c>
      <c r="I12" s="7"/>
      <c r="J12" s="7"/>
      <c r="K12" s="7"/>
      <c r="L12" s="7"/>
      <c r="M12" s="7"/>
      <c r="N12" s="7"/>
      <c r="O12" s="7">
        <v>1</v>
      </c>
      <c r="P12" s="27" t="s">
        <v>534</v>
      </c>
      <c r="Q12" s="17">
        <v>3200</v>
      </c>
      <c r="R12" s="10">
        <f t="shared" si="1"/>
        <v>0</v>
      </c>
      <c r="S12" s="7">
        <f t="shared" si="2"/>
        <v>0</v>
      </c>
      <c r="T12" s="11">
        <f t="shared" si="3"/>
        <v>-1</v>
      </c>
      <c r="U12" s="7">
        <f t="shared" si="4"/>
        <v>0</v>
      </c>
      <c r="V12" s="7">
        <v>0</v>
      </c>
      <c r="W12" s="7">
        <v>1</v>
      </c>
      <c r="X12" s="7">
        <v>1</v>
      </c>
      <c r="Y12" s="7">
        <v>0</v>
      </c>
      <c r="Z12" s="7">
        <f t="shared" si="5"/>
        <v>2</v>
      </c>
      <c r="AA12" s="7"/>
      <c r="AB12" s="7"/>
      <c r="AC12" s="7"/>
      <c r="AD12" s="7" t="s">
        <v>312</v>
      </c>
      <c r="AE12" s="7"/>
      <c r="AF12" s="7" t="s">
        <v>53</v>
      </c>
      <c r="AG12" s="7" t="s">
        <v>313</v>
      </c>
      <c r="AH12" s="77">
        <v>28141</v>
      </c>
      <c r="AI12" s="7" t="s">
        <v>57</v>
      </c>
      <c r="AJ12" s="7" t="s">
        <v>57</v>
      </c>
      <c r="AK12" s="7" t="s">
        <v>57</v>
      </c>
      <c r="AL12" s="15"/>
      <c r="AM12" s="15"/>
      <c r="AN12" s="15"/>
      <c r="AO12" s="15"/>
      <c r="AP12" s="15"/>
      <c r="AQ12" s="15"/>
      <c r="AR12" s="15"/>
    </row>
    <row r="13" spans="1:44" ht="22.5" customHeight="1">
      <c r="A13" s="4" t="s">
        <v>233</v>
      </c>
      <c r="B13" s="7" t="str">
        <f t="shared" si="0"/>
        <v>⚙️</v>
      </c>
      <c r="C13" s="4" t="s">
        <v>40</v>
      </c>
      <c r="D13" s="4" t="s">
        <v>234</v>
      </c>
      <c r="E13" s="4" t="s">
        <v>235</v>
      </c>
      <c r="F13" s="4" t="s">
        <v>236</v>
      </c>
      <c r="G13" s="8" t="s">
        <v>237</v>
      </c>
      <c r="H13" s="8" t="s">
        <v>238</v>
      </c>
      <c r="I13" s="7"/>
      <c r="J13" s="7"/>
      <c r="K13" s="7"/>
      <c r="L13" s="7">
        <v>72</v>
      </c>
      <c r="M13" s="7">
        <v>72</v>
      </c>
      <c r="N13" s="7"/>
      <c r="O13" s="7">
        <v>70</v>
      </c>
      <c r="P13" s="19" t="s">
        <v>535</v>
      </c>
      <c r="Q13" s="17">
        <v>3200</v>
      </c>
      <c r="R13" s="10">
        <f t="shared" si="1"/>
        <v>7.1612132933363652E-3</v>
      </c>
      <c r="S13" s="7">
        <f t="shared" si="2"/>
        <v>0</v>
      </c>
      <c r="T13" s="11">
        <f t="shared" si="3"/>
        <v>2.8571428571428571E-2</v>
      </c>
      <c r="U13" s="7">
        <f t="shared" si="4"/>
        <v>1</v>
      </c>
      <c r="V13" s="7">
        <v>0</v>
      </c>
      <c r="W13" s="7">
        <v>1</v>
      </c>
      <c r="X13" s="7">
        <v>1</v>
      </c>
      <c r="Y13" s="7">
        <v>0</v>
      </c>
      <c r="Z13" s="7">
        <f t="shared" si="5"/>
        <v>3</v>
      </c>
      <c r="AA13" s="7"/>
      <c r="AB13" s="7" t="s">
        <v>45</v>
      </c>
      <c r="AC13" s="7">
        <v>63</v>
      </c>
      <c r="AD13" s="7">
        <v>70</v>
      </c>
      <c r="AE13" s="7" t="s">
        <v>240</v>
      </c>
      <c r="AF13" s="7" t="s">
        <v>53</v>
      </c>
      <c r="AG13" s="7"/>
      <c r="AH13" s="7">
        <v>105722</v>
      </c>
      <c r="AI13" s="7" t="s">
        <v>57</v>
      </c>
      <c r="AJ13" s="7" t="s">
        <v>57</v>
      </c>
      <c r="AK13" s="7" t="s">
        <v>57</v>
      </c>
      <c r="AL13" s="15"/>
      <c r="AM13" s="15"/>
      <c r="AN13" s="15"/>
      <c r="AO13" s="15"/>
      <c r="AP13" s="15"/>
      <c r="AQ13" s="15"/>
      <c r="AR13" s="15"/>
    </row>
    <row r="14" spans="1:44" ht="22.5" customHeight="1">
      <c r="A14" s="4" t="s">
        <v>241</v>
      </c>
      <c r="B14" s="7" t="str">
        <f t="shared" si="0"/>
        <v>⚙️</v>
      </c>
      <c r="C14" s="4" t="s">
        <v>40</v>
      </c>
      <c r="D14" s="4" t="s">
        <v>242</v>
      </c>
      <c r="E14" s="4" t="s">
        <v>243</v>
      </c>
      <c r="F14" s="4" t="s">
        <v>244</v>
      </c>
      <c r="G14" s="3" t="s">
        <v>245</v>
      </c>
      <c r="H14" s="5" t="s">
        <v>246</v>
      </c>
      <c r="I14" s="7"/>
      <c r="J14" s="7"/>
      <c r="K14" s="7"/>
      <c r="L14" s="7">
        <v>126</v>
      </c>
      <c r="M14" s="7">
        <v>130</v>
      </c>
      <c r="N14" s="7"/>
      <c r="O14" s="7">
        <v>123</v>
      </c>
      <c r="P14" s="27" t="s">
        <v>247</v>
      </c>
      <c r="Q14" s="17">
        <v>3500</v>
      </c>
      <c r="R14" s="10">
        <f t="shared" si="1"/>
        <v>5.3102838691896533E-3</v>
      </c>
      <c r="S14" s="7">
        <f t="shared" si="2"/>
        <v>0</v>
      </c>
      <c r="T14" s="11">
        <f t="shared" si="3"/>
        <v>2.4390243902439025E-2</v>
      </c>
      <c r="U14" s="7">
        <f t="shared" si="4"/>
        <v>1</v>
      </c>
      <c r="V14" s="7">
        <v>0</v>
      </c>
      <c r="W14" s="7">
        <v>1</v>
      </c>
      <c r="X14" s="7">
        <v>1</v>
      </c>
      <c r="Y14" s="7">
        <v>0</v>
      </c>
      <c r="Z14" s="7">
        <f t="shared" si="5"/>
        <v>3</v>
      </c>
      <c r="AA14" s="7"/>
      <c r="AB14" s="7" t="s">
        <v>45</v>
      </c>
      <c r="AC14" s="7">
        <v>99</v>
      </c>
      <c r="AD14" s="7">
        <v>123</v>
      </c>
      <c r="AE14" s="7" t="s">
        <v>248</v>
      </c>
      <c r="AF14" s="7" t="s">
        <v>53</v>
      </c>
      <c r="AG14" s="7"/>
      <c r="AH14" s="7">
        <v>249501</v>
      </c>
      <c r="AI14" s="7"/>
      <c r="AJ14" s="7"/>
      <c r="AK14" s="7" t="s">
        <v>57</v>
      </c>
      <c r="AL14" s="15"/>
      <c r="AM14" s="15"/>
      <c r="AN14" s="15"/>
      <c r="AO14" s="15"/>
      <c r="AP14" s="15"/>
      <c r="AQ14" s="15"/>
      <c r="AR14" s="15"/>
    </row>
    <row r="15" spans="1:44" ht="22.5" customHeight="1">
      <c r="A15" s="7" t="s">
        <v>250</v>
      </c>
      <c r="B15" s="7" t="str">
        <f t="shared" si="0"/>
        <v>⚙️</v>
      </c>
      <c r="C15" s="4" t="s">
        <v>40</v>
      </c>
      <c r="D15" s="7" t="s">
        <v>251</v>
      </c>
      <c r="E15" s="7" t="s">
        <v>252</v>
      </c>
      <c r="F15" s="7" t="s">
        <v>253</v>
      </c>
      <c r="G15" s="8"/>
      <c r="H15" s="8" t="s">
        <v>254</v>
      </c>
      <c r="I15" s="7"/>
      <c r="J15" s="7"/>
      <c r="K15" s="7"/>
      <c r="L15" s="7">
        <v>71</v>
      </c>
      <c r="M15" s="7">
        <v>71</v>
      </c>
      <c r="N15" s="7"/>
      <c r="O15" s="7">
        <v>68</v>
      </c>
      <c r="P15" s="34" t="s">
        <v>536</v>
      </c>
      <c r="Q15" s="17">
        <v>3500</v>
      </c>
      <c r="R15" s="10">
        <f t="shared" si="1"/>
        <v>4.3612359929538647E-3</v>
      </c>
      <c r="S15" s="7">
        <f t="shared" si="2"/>
        <v>0</v>
      </c>
      <c r="T15" s="11">
        <f t="shared" si="3"/>
        <v>4.4117647058823532E-2</v>
      </c>
      <c r="U15" s="7">
        <f t="shared" si="4"/>
        <v>1</v>
      </c>
      <c r="V15" s="7">
        <v>0</v>
      </c>
      <c r="W15" s="7">
        <v>1</v>
      </c>
      <c r="X15" s="7">
        <v>1</v>
      </c>
      <c r="Y15" s="7">
        <v>0</v>
      </c>
      <c r="Z15" s="7">
        <f t="shared" si="5"/>
        <v>3</v>
      </c>
      <c r="AA15" s="7"/>
      <c r="AB15" s="7" t="s">
        <v>45</v>
      </c>
      <c r="AC15" s="7"/>
      <c r="AD15" s="7">
        <v>68</v>
      </c>
      <c r="AE15" s="7" t="s">
        <v>256</v>
      </c>
      <c r="AF15" s="7" t="s">
        <v>53</v>
      </c>
      <c r="AG15" s="7" t="s">
        <v>86</v>
      </c>
      <c r="AH15" s="7">
        <v>171186</v>
      </c>
      <c r="AI15" s="7" t="s">
        <v>57</v>
      </c>
      <c r="AJ15" s="7" t="s">
        <v>57</v>
      </c>
      <c r="AK15" s="7" t="s">
        <v>57</v>
      </c>
      <c r="AL15" s="15"/>
      <c r="AM15" s="15"/>
      <c r="AN15" s="15"/>
      <c r="AO15" s="15"/>
      <c r="AP15" s="15"/>
      <c r="AQ15" s="15"/>
      <c r="AR15" s="15"/>
    </row>
    <row r="16" spans="1:44" ht="22.5" customHeight="1">
      <c r="A16" s="4" t="s">
        <v>176</v>
      </c>
      <c r="B16" s="7" t="str">
        <f t="shared" si="0"/>
        <v>🥈</v>
      </c>
      <c r="C16" s="4" t="s">
        <v>40</v>
      </c>
      <c r="D16" s="4" t="s">
        <v>47</v>
      </c>
      <c r="E16" s="4" t="s">
        <v>48</v>
      </c>
      <c r="F16" s="4" t="s">
        <v>177</v>
      </c>
      <c r="G16" s="8"/>
      <c r="H16" s="8" t="s">
        <v>50</v>
      </c>
      <c r="I16" s="7"/>
      <c r="J16" s="7"/>
      <c r="K16" s="7"/>
      <c r="L16" s="7">
        <v>87</v>
      </c>
      <c r="M16" s="7">
        <v>89</v>
      </c>
      <c r="N16" s="7"/>
      <c r="O16" s="7">
        <v>110</v>
      </c>
      <c r="P16" s="27" t="s">
        <v>178</v>
      </c>
      <c r="Q16" s="17">
        <v>4000</v>
      </c>
      <c r="R16" s="10">
        <f t="shared" si="1"/>
        <v>2.6906661718315086E-2</v>
      </c>
      <c r="S16" s="7">
        <f t="shared" si="2"/>
        <v>2</v>
      </c>
      <c r="T16" s="11">
        <f t="shared" si="3"/>
        <v>-0.20909090909090908</v>
      </c>
      <c r="U16" s="7">
        <f t="shared" si="4"/>
        <v>0</v>
      </c>
      <c r="V16" s="7">
        <v>0</v>
      </c>
      <c r="W16" s="7">
        <v>1</v>
      </c>
      <c r="X16" s="7">
        <v>1</v>
      </c>
      <c r="Y16" s="7">
        <v>0</v>
      </c>
      <c r="Z16" s="7">
        <f t="shared" si="5"/>
        <v>4</v>
      </c>
      <c r="AA16" s="7"/>
      <c r="AB16" s="7" t="s">
        <v>45</v>
      </c>
      <c r="AC16" s="7"/>
      <c r="AD16" s="7">
        <v>110</v>
      </c>
      <c r="AE16" s="7" t="s">
        <v>179</v>
      </c>
      <c r="AF16" s="7" t="s">
        <v>53</v>
      </c>
      <c r="AG16" s="7" t="s">
        <v>180</v>
      </c>
      <c r="AH16" s="7">
        <v>34000</v>
      </c>
      <c r="AI16" s="7" t="s">
        <v>57</v>
      </c>
      <c r="AJ16" s="7" t="s">
        <v>57</v>
      </c>
      <c r="AK16" s="7" t="s">
        <v>57</v>
      </c>
      <c r="AL16" s="15"/>
      <c r="AM16" s="15"/>
      <c r="AN16" s="15"/>
      <c r="AO16" s="15"/>
      <c r="AP16" s="15"/>
      <c r="AQ16" s="15"/>
      <c r="AR16" s="15"/>
    </row>
    <row r="17" spans="1:44" ht="22.5" customHeight="1">
      <c r="A17" s="7" t="s">
        <v>182</v>
      </c>
      <c r="B17" s="7" t="str">
        <f t="shared" si="0"/>
        <v>🥈</v>
      </c>
      <c r="C17" s="4" t="s">
        <v>40</v>
      </c>
      <c r="D17" s="7" t="s">
        <v>99</v>
      </c>
      <c r="E17" s="7" t="s">
        <v>100</v>
      </c>
      <c r="F17" s="7" t="s">
        <v>101</v>
      </c>
      <c r="G17" s="8"/>
      <c r="H17" s="8" t="s">
        <v>102</v>
      </c>
      <c r="I17" s="7"/>
      <c r="J17" s="7"/>
      <c r="K17" s="7"/>
      <c r="L17" s="7">
        <v>38</v>
      </c>
      <c r="M17" s="7">
        <v>36</v>
      </c>
      <c r="N17" s="7"/>
      <c r="O17" s="7">
        <v>41</v>
      </c>
      <c r="P17" s="34" t="s">
        <v>183</v>
      </c>
      <c r="Q17" s="17">
        <v>3200</v>
      </c>
      <c r="R17" s="10">
        <f t="shared" si="1"/>
        <v>1.8105912824127407E-2</v>
      </c>
      <c r="S17" s="7">
        <f t="shared" si="2"/>
        <v>2</v>
      </c>
      <c r="T17" s="11">
        <f t="shared" si="3"/>
        <v>-7.3170731707317069E-2</v>
      </c>
      <c r="U17" s="7">
        <f t="shared" si="4"/>
        <v>0</v>
      </c>
      <c r="V17" s="7">
        <v>0</v>
      </c>
      <c r="W17" s="7">
        <v>1</v>
      </c>
      <c r="X17" s="7">
        <v>1</v>
      </c>
      <c r="Y17" s="7">
        <v>0</v>
      </c>
      <c r="Z17" s="7">
        <f t="shared" si="5"/>
        <v>4</v>
      </c>
      <c r="AA17" s="7"/>
      <c r="AB17" s="7" t="s">
        <v>57</v>
      </c>
      <c r="AC17" s="7"/>
      <c r="AD17" s="7">
        <v>41</v>
      </c>
      <c r="AE17" s="7" t="s">
        <v>104</v>
      </c>
      <c r="AF17" s="7" t="s">
        <v>53</v>
      </c>
      <c r="AG17" s="7" t="s">
        <v>86</v>
      </c>
      <c r="AH17" s="7">
        <v>22069</v>
      </c>
      <c r="AI17" s="7" t="s">
        <v>57</v>
      </c>
      <c r="AJ17" s="7" t="s">
        <v>57</v>
      </c>
      <c r="AK17" s="7" t="s">
        <v>57</v>
      </c>
      <c r="AL17" s="15"/>
      <c r="AM17" s="15"/>
      <c r="AN17" s="15"/>
      <c r="AO17" s="15"/>
      <c r="AP17" s="15"/>
      <c r="AQ17" s="15"/>
      <c r="AR17" s="15"/>
    </row>
    <row r="18" spans="1:44" ht="22.5" customHeight="1">
      <c r="A18" s="7" t="s">
        <v>184</v>
      </c>
      <c r="B18" s="7" t="str">
        <f t="shared" si="0"/>
        <v>🥈</v>
      </c>
      <c r="C18" s="4" t="s">
        <v>40</v>
      </c>
      <c r="D18" s="7" t="s">
        <v>185</v>
      </c>
      <c r="E18" s="7" t="s">
        <v>186</v>
      </c>
      <c r="F18" s="7" t="s">
        <v>187</v>
      </c>
      <c r="G18" s="8"/>
      <c r="H18" s="8" t="s">
        <v>188</v>
      </c>
      <c r="I18" s="7"/>
      <c r="J18" s="7"/>
      <c r="K18" s="7"/>
      <c r="L18" s="7">
        <v>51</v>
      </c>
      <c r="M18" s="7">
        <v>50</v>
      </c>
      <c r="N18" s="7"/>
      <c r="O18" s="7">
        <v>62</v>
      </c>
      <c r="P18" s="27" t="s">
        <v>189</v>
      </c>
      <c r="Q18" s="17">
        <v>3000</v>
      </c>
      <c r="R18" s="10">
        <f t="shared" si="1"/>
        <v>1.512729126184478E-2</v>
      </c>
      <c r="S18" s="7">
        <f t="shared" si="2"/>
        <v>2</v>
      </c>
      <c r="T18" s="11">
        <f t="shared" si="3"/>
        <v>-0.17741935483870969</v>
      </c>
      <c r="U18" s="7">
        <f t="shared" si="4"/>
        <v>0</v>
      </c>
      <c r="V18" s="7">
        <v>0</v>
      </c>
      <c r="W18" s="7">
        <v>1</v>
      </c>
      <c r="X18" s="7">
        <v>1</v>
      </c>
      <c r="Y18" s="7">
        <v>0</v>
      </c>
      <c r="Z18" s="7">
        <f t="shared" si="5"/>
        <v>4</v>
      </c>
      <c r="AA18" s="7"/>
      <c r="AB18" s="7" t="s">
        <v>45</v>
      </c>
      <c r="AC18" s="7"/>
      <c r="AD18" s="7">
        <v>62</v>
      </c>
      <c r="AE18" s="7" t="s">
        <v>190</v>
      </c>
      <c r="AF18" s="7" t="s">
        <v>53</v>
      </c>
      <c r="AG18" s="7" t="s">
        <v>86</v>
      </c>
      <c r="AH18" s="7">
        <v>35451</v>
      </c>
      <c r="AI18" s="7"/>
      <c r="AJ18" s="7" t="s">
        <v>57</v>
      </c>
      <c r="AK18" s="7" t="s">
        <v>57</v>
      </c>
      <c r="AL18" s="15"/>
      <c r="AM18" s="15"/>
      <c r="AN18" s="15"/>
      <c r="AO18" s="15"/>
      <c r="AP18" s="15"/>
      <c r="AQ18" s="15"/>
      <c r="AR18" s="15"/>
    </row>
    <row r="19" spans="1:44" ht="22.5" customHeight="1">
      <c r="A19" s="7" t="s">
        <v>193</v>
      </c>
      <c r="B19" s="7" t="str">
        <f t="shared" si="0"/>
        <v>🥈</v>
      </c>
      <c r="C19" s="4" t="s">
        <v>40</v>
      </c>
      <c r="D19" s="4" t="s">
        <v>194</v>
      </c>
      <c r="E19" s="7" t="s">
        <v>195</v>
      </c>
      <c r="F19" s="4" t="s">
        <v>196</v>
      </c>
      <c r="G19" s="8"/>
      <c r="H19" s="8" t="s">
        <v>197</v>
      </c>
      <c r="I19" s="7"/>
      <c r="J19" s="7"/>
      <c r="K19" s="7"/>
      <c r="L19" s="7">
        <v>60</v>
      </c>
      <c r="M19" s="7">
        <v>64</v>
      </c>
      <c r="N19" s="7"/>
      <c r="O19" s="7">
        <v>73</v>
      </c>
      <c r="P19" s="34" t="s">
        <v>537</v>
      </c>
      <c r="Q19" s="17">
        <v>3000</v>
      </c>
      <c r="R19" s="10">
        <f t="shared" si="1"/>
        <v>1.5277497796411911E-2</v>
      </c>
      <c r="S19" s="7">
        <f t="shared" si="2"/>
        <v>2</v>
      </c>
      <c r="T19" s="11">
        <f t="shared" si="3"/>
        <v>-0.17808219178082191</v>
      </c>
      <c r="U19" s="7">
        <f t="shared" si="4"/>
        <v>0</v>
      </c>
      <c r="V19" s="7">
        <v>0</v>
      </c>
      <c r="W19" s="7">
        <v>1</v>
      </c>
      <c r="X19" s="7">
        <v>1</v>
      </c>
      <c r="Y19" s="7">
        <v>0</v>
      </c>
      <c r="Z19" s="7">
        <f t="shared" si="5"/>
        <v>4</v>
      </c>
      <c r="AA19" s="7"/>
      <c r="AB19" s="7" t="s">
        <v>45</v>
      </c>
      <c r="AC19" s="7">
        <v>49</v>
      </c>
      <c r="AD19" s="7">
        <v>73</v>
      </c>
      <c r="AE19" s="7"/>
      <c r="AF19" s="7" t="s">
        <v>53</v>
      </c>
      <c r="AG19" s="7" t="s">
        <v>180</v>
      </c>
      <c r="AH19" s="7">
        <v>41297</v>
      </c>
      <c r="AI19" s="7" t="s">
        <v>57</v>
      </c>
      <c r="AJ19" s="7" t="s">
        <v>57</v>
      </c>
      <c r="AK19" s="7" t="s">
        <v>57</v>
      </c>
      <c r="AL19" s="15"/>
      <c r="AM19" s="15"/>
      <c r="AN19" s="15"/>
      <c r="AO19" s="15"/>
      <c r="AP19" s="15"/>
      <c r="AQ19" s="15"/>
      <c r="AR19" s="15"/>
    </row>
    <row r="20" spans="1:44" ht="22.5" customHeight="1">
      <c r="A20" s="4" t="s">
        <v>201</v>
      </c>
      <c r="B20" s="7" t="str">
        <f t="shared" si="0"/>
        <v>🥈</v>
      </c>
      <c r="C20" s="4" t="s">
        <v>40</v>
      </c>
      <c r="D20" s="4" t="s">
        <v>202</v>
      </c>
      <c r="E20" s="4" t="s">
        <v>203</v>
      </c>
      <c r="F20" s="4" t="s">
        <v>204</v>
      </c>
      <c r="G20" s="8" t="s">
        <v>205</v>
      </c>
      <c r="H20" s="8" t="s">
        <v>206</v>
      </c>
      <c r="I20" s="7"/>
      <c r="J20" s="7"/>
      <c r="K20" s="7"/>
      <c r="L20" s="7">
        <v>56</v>
      </c>
      <c r="M20" s="7">
        <v>59</v>
      </c>
      <c r="N20" s="7"/>
      <c r="O20" s="7">
        <v>41</v>
      </c>
      <c r="P20" s="27" t="s">
        <v>207</v>
      </c>
      <c r="Q20" s="17">
        <v>3000</v>
      </c>
      <c r="R20" s="10">
        <f t="shared" si="1"/>
        <v>8.4125582248552721E-3</v>
      </c>
      <c r="S20" s="7">
        <f t="shared" si="2"/>
        <v>0</v>
      </c>
      <c r="T20" s="11">
        <f t="shared" si="3"/>
        <v>0.36585365853658536</v>
      </c>
      <c r="U20" s="7">
        <f t="shared" si="4"/>
        <v>2</v>
      </c>
      <c r="V20" s="7">
        <v>0</v>
      </c>
      <c r="W20" s="7">
        <v>1</v>
      </c>
      <c r="X20" s="7">
        <v>1</v>
      </c>
      <c r="Y20" s="7">
        <v>0</v>
      </c>
      <c r="Z20" s="7">
        <f t="shared" si="5"/>
        <v>4</v>
      </c>
      <c r="AA20" s="7"/>
      <c r="AB20" s="7" t="s">
        <v>45</v>
      </c>
      <c r="AC20" s="7">
        <v>43</v>
      </c>
      <c r="AD20" s="7">
        <v>41</v>
      </c>
      <c r="AE20" s="7" t="s">
        <v>208</v>
      </c>
      <c r="AF20" s="7" t="s">
        <v>53</v>
      </c>
      <c r="AG20" s="7"/>
      <c r="AH20" s="7">
        <v>69997</v>
      </c>
      <c r="AI20" s="7"/>
      <c r="AJ20" s="7"/>
      <c r="AK20" s="7" t="s">
        <v>57</v>
      </c>
      <c r="AL20" s="15"/>
      <c r="AM20" s="15"/>
      <c r="AN20" s="15"/>
      <c r="AO20" s="15"/>
      <c r="AP20" s="15"/>
      <c r="AQ20" s="15"/>
      <c r="AR20" s="15"/>
    </row>
    <row r="21" spans="1:44" ht="22.5" customHeight="1">
      <c r="A21" s="7" t="s">
        <v>210</v>
      </c>
      <c r="B21" s="7" t="str">
        <f t="shared" si="0"/>
        <v>🥈</v>
      </c>
      <c r="C21" s="4" t="s">
        <v>40</v>
      </c>
      <c r="D21" s="7" t="s">
        <v>211</v>
      </c>
      <c r="E21" s="7" t="s">
        <v>212</v>
      </c>
      <c r="F21" s="4" t="s">
        <v>213</v>
      </c>
      <c r="G21" s="8"/>
      <c r="H21" s="8" t="s">
        <v>214</v>
      </c>
      <c r="I21" s="7"/>
      <c r="J21" s="7"/>
      <c r="K21" s="7"/>
      <c r="L21" s="7">
        <v>61</v>
      </c>
      <c r="M21" s="7">
        <v>65</v>
      </c>
      <c r="N21" s="7"/>
      <c r="O21" s="7">
        <v>51</v>
      </c>
      <c r="P21" s="34" t="s">
        <v>215</v>
      </c>
      <c r="Q21" s="17">
        <v>3500</v>
      </c>
      <c r="R21" s="10">
        <f t="shared" si="1"/>
        <v>6.0838272403703781E-3</v>
      </c>
      <c r="S21" s="7">
        <f t="shared" si="2"/>
        <v>0</v>
      </c>
      <c r="T21" s="11">
        <f t="shared" si="3"/>
        <v>0.19607843137254902</v>
      </c>
      <c r="U21" s="7">
        <f t="shared" si="4"/>
        <v>2</v>
      </c>
      <c r="V21" s="7">
        <v>0</v>
      </c>
      <c r="W21" s="7">
        <v>1</v>
      </c>
      <c r="X21" s="7">
        <v>1</v>
      </c>
      <c r="Y21" s="7">
        <v>0</v>
      </c>
      <c r="Z21" s="7">
        <f t="shared" si="5"/>
        <v>4</v>
      </c>
      <c r="AA21" s="7"/>
      <c r="AB21" s="7" t="s">
        <v>45</v>
      </c>
      <c r="AC21" s="7">
        <v>43</v>
      </c>
      <c r="AD21" s="7">
        <v>51</v>
      </c>
      <c r="AE21" s="7"/>
      <c r="AF21" s="7" t="s">
        <v>53</v>
      </c>
      <c r="AG21" s="7" t="s">
        <v>180</v>
      </c>
      <c r="AH21" s="7">
        <v>105432</v>
      </c>
      <c r="AI21" s="7"/>
      <c r="AJ21" s="7"/>
      <c r="AK21" s="7" t="s">
        <v>57</v>
      </c>
      <c r="AL21" s="15"/>
      <c r="AM21" s="15"/>
      <c r="AN21" s="15"/>
      <c r="AO21" s="15"/>
      <c r="AP21" s="15"/>
      <c r="AQ21" s="15"/>
      <c r="AR21" s="15"/>
    </row>
    <row r="22" spans="1:44" ht="22.5" customHeight="1">
      <c r="A22" s="4" t="s">
        <v>218</v>
      </c>
      <c r="B22" s="7" t="str">
        <f t="shared" si="0"/>
        <v>🥈</v>
      </c>
      <c r="C22" s="4" t="s">
        <v>40</v>
      </c>
      <c r="D22" s="7" t="s">
        <v>219</v>
      </c>
      <c r="E22" s="4" t="s">
        <v>220</v>
      </c>
      <c r="F22" s="4" t="s">
        <v>221</v>
      </c>
      <c r="G22" s="8"/>
      <c r="H22" s="8" t="s">
        <v>222</v>
      </c>
      <c r="I22" s="7"/>
      <c r="J22" s="7"/>
      <c r="K22" s="7"/>
      <c r="L22" s="7">
        <v>78</v>
      </c>
      <c r="M22" s="7">
        <v>75</v>
      </c>
      <c r="N22" s="7"/>
      <c r="O22" s="7">
        <v>64</v>
      </c>
      <c r="P22" s="22" t="s">
        <v>538</v>
      </c>
      <c r="Q22" s="17">
        <v>3200</v>
      </c>
      <c r="R22" s="10">
        <f t="shared" si="1"/>
        <v>8.3752606397217346E-3</v>
      </c>
      <c r="S22" s="7">
        <f t="shared" si="2"/>
        <v>0</v>
      </c>
      <c r="T22" s="11">
        <f t="shared" si="3"/>
        <v>0.21875</v>
      </c>
      <c r="U22" s="7">
        <f t="shared" si="4"/>
        <v>2</v>
      </c>
      <c r="V22" s="7">
        <v>0</v>
      </c>
      <c r="W22" s="7">
        <v>1</v>
      </c>
      <c r="X22" s="7">
        <v>1</v>
      </c>
      <c r="Y22" s="7">
        <v>0</v>
      </c>
      <c r="Z22" s="7">
        <f t="shared" si="5"/>
        <v>4</v>
      </c>
      <c r="AA22" s="7"/>
      <c r="AB22" s="7" t="s">
        <v>45</v>
      </c>
      <c r="AC22" s="7">
        <v>69</v>
      </c>
      <c r="AD22" s="7">
        <v>64</v>
      </c>
      <c r="AE22" s="7" t="s">
        <v>85</v>
      </c>
      <c r="AF22" s="7" t="s">
        <v>53</v>
      </c>
      <c r="AG22" s="7" t="s">
        <v>180</v>
      </c>
      <c r="AH22" s="7">
        <v>97930</v>
      </c>
      <c r="AI22" s="7"/>
      <c r="AJ22" s="7"/>
      <c r="AK22" s="7" t="s">
        <v>57</v>
      </c>
      <c r="AL22" s="15"/>
      <c r="AM22" s="15"/>
      <c r="AN22" s="15"/>
      <c r="AO22" s="15"/>
      <c r="AP22" s="15"/>
      <c r="AQ22" s="15"/>
      <c r="AR22" s="15"/>
    </row>
    <row r="23" spans="1:44" ht="22.5" customHeight="1">
      <c r="A23" s="4" t="s">
        <v>227</v>
      </c>
      <c r="B23" s="7" t="str">
        <f t="shared" si="0"/>
        <v>🥈</v>
      </c>
      <c r="C23" s="4" t="s">
        <v>40</v>
      </c>
      <c r="D23" s="4" t="s">
        <v>228</v>
      </c>
      <c r="E23" s="4" t="s">
        <v>229</v>
      </c>
      <c r="F23" s="4" t="s">
        <v>230</v>
      </c>
      <c r="G23" s="8" t="s">
        <v>231</v>
      </c>
      <c r="H23" s="8" t="s">
        <v>232</v>
      </c>
      <c r="I23" s="7"/>
      <c r="J23" s="7"/>
      <c r="K23" s="7"/>
      <c r="L23" s="7">
        <v>1141</v>
      </c>
      <c r="M23" s="7">
        <v>1122</v>
      </c>
      <c r="N23" s="7"/>
      <c r="O23" s="7">
        <v>1100</v>
      </c>
      <c r="P23" s="9"/>
      <c r="Q23" s="7"/>
      <c r="R23" s="10">
        <f t="shared" si="1"/>
        <v>7.694925429887158E-3</v>
      </c>
      <c r="S23" s="7">
        <f t="shared" si="2"/>
        <v>0</v>
      </c>
      <c r="T23" s="11">
        <f t="shared" si="3"/>
        <v>3.727272727272727E-2</v>
      </c>
      <c r="U23" s="7">
        <f t="shared" si="4"/>
        <v>1</v>
      </c>
      <c r="V23" s="7">
        <v>1</v>
      </c>
      <c r="W23" s="7">
        <v>1</v>
      </c>
      <c r="X23" s="7">
        <v>1</v>
      </c>
      <c r="Y23" s="7">
        <v>0</v>
      </c>
      <c r="Z23" s="7">
        <f t="shared" si="5"/>
        <v>4</v>
      </c>
      <c r="AA23" s="7"/>
      <c r="AB23" s="7" t="s">
        <v>45</v>
      </c>
      <c r="AC23" s="7"/>
      <c r="AD23" s="7"/>
      <c r="AE23" s="7"/>
      <c r="AF23" s="7" t="s">
        <v>174</v>
      </c>
      <c r="AG23" s="7" t="s">
        <v>175</v>
      </c>
      <c r="AH23" s="7">
        <f>1681405-AH25-AH34</f>
        <v>1559196</v>
      </c>
      <c r="AI23" s="7"/>
      <c r="AJ23" s="7"/>
      <c r="AK23" s="7" t="s">
        <v>57</v>
      </c>
      <c r="AL23" s="15"/>
      <c r="AM23" s="15"/>
      <c r="AN23" s="15"/>
      <c r="AO23" s="15"/>
      <c r="AP23" s="15"/>
      <c r="AQ23" s="15"/>
      <c r="AR23" s="15"/>
    </row>
    <row r="24" spans="1:44" ht="22.5" customHeight="1">
      <c r="A24" s="4" t="s">
        <v>146</v>
      </c>
      <c r="B24" s="7" t="str">
        <f t="shared" si="0"/>
        <v>🥈</v>
      </c>
      <c r="C24" s="4" t="s">
        <v>40</v>
      </c>
      <c r="D24" s="4" t="s">
        <v>147</v>
      </c>
      <c r="E24" s="4" t="s">
        <v>148</v>
      </c>
      <c r="F24" s="4" t="s">
        <v>149</v>
      </c>
      <c r="G24" s="8"/>
      <c r="H24" s="8" t="s">
        <v>150</v>
      </c>
      <c r="I24" s="7"/>
      <c r="J24" s="7"/>
      <c r="K24" s="7"/>
      <c r="L24" s="7">
        <v>34</v>
      </c>
      <c r="M24" s="7">
        <v>30</v>
      </c>
      <c r="N24" s="7"/>
      <c r="O24" s="7">
        <v>31</v>
      </c>
      <c r="P24" s="78" t="s">
        <v>539</v>
      </c>
      <c r="Q24" s="17">
        <v>3000</v>
      </c>
      <c r="R24" s="10">
        <f t="shared" si="1"/>
        <v>1.797839694671827E-2</v>
      </c>
      <c r="S24" s="7">
        <f t="shared" si="2"/>
        <v>2</v>
      </c>
      <c r="T24" s="11">
        <f t="shared" si="3"/>
        <v>9.6774193548387094E-2</v>
      </c>
      <c r="U24" s="7">
        <f t="shared" si="4"/>
        <v>1</v>
      </c>
      <c r="V24" s="7">
        <v>0</v>
      </c>
      <c r="W24" s="7">
        <v>1</v>
      </c>
      <c r="X24" s="7">
        <v>1</v>
      </c>
      <c r="Y24" s="7">
        <v>0</v>
      </c>
      <c r="Z24" s="7">
        <f t="shared" si="5"/>
        <v>5</v>
      </c>
      <c r="AA24" s="7"/>
      <c r="AB24" s="7" t="s">
        <v>57</v>
      </c>
      <c r="AC24" s="7">
        <v>45</v>
      </c>
      <c r="AD24" s="7">
        <v>31</v>
      </c>
      <c r="AE24" s="7" t="s">
        <v>262</v>
      </c>
      <c r="AF24" s="7" t="s">
        <v>53</v>
      </c>
      <c r="AG24" s="7" t="s">
        <v>153</v>
      </c>
      <c r="AH24" s="7">
        <v>19886</v>
      </c>
      <c r="AI24" s="7" t="s">
        <v>57</v>
      </c>
      <c r="AJ24" s="7" t="s">
        <v>57</v>
      </c>
      <c r="AK24" s="7" t="s">
        <v>57</v>
      </c>
      <c r="AL24" s="15"/>
      <c r="AM24" s="15"/>
      <c r="AN24" s="15"/>
      <c r="AO24" s="15"/>
      <c r="AP24" s="15"/>
      <c r="AQ24" s="15"/>
      <c r="AR24" s="15"/>
    </row>
    <row r="25" spans="1:44" ht="22.5" customHeight="1">
      <c r="A25" s="4" t="s">
        <v>155</v>
      </c>
      <c r="B25" s="7" t="str">
        <f t="shared" si="0"/>
        <v>🥈</v>
      </c>
      <c r="C25" s="4" t="s">
        <v>40</v>
      </c>
      <c r="D25" s="4" t="s">
        <v>156</v>
      </c>
      <c r="E25" s="33" t="s">
        <v>540</v>
      </c>
      <c r="F25" s="4" t="s">
        <v>158</v>
      </c>
      <c r="G25" s="7" t="s">
        <v>159</v>
      </c>
      <c r="H25" s="8" t="s">
        <v>160</v>
      </c>
      <c r="I25" s="7"/>
      <c r="J25" s="7"/>
      <c r="K25" s="7"/>
      <c r="L25" s="7">
        <v>121</v>
      </c>
      <c r="M25" s="7">
        <v>149</v>
      </c>
      <c r="N25" s="7"/>
      <c r="O25" s="7">
        <v>117</v>
      </c>
      <c r="P25" s="16" t="s">
        <v>541</v>
      </c>
      <c r="Q25" s="17">
        <v>3200</v>
      </c>
      <c r="R25" s="10">
        <f t="shared" si="1"/>
        <v>1.1201994154929061E-2</v>
      </c>
      <c r="S25" s="7">
        <f t="shared" si="2"/>
        <v>2</v>
      </c>
      <c r="T25" s="11">
        <f t="shared" si="3"/>
        <v>3.4188034188034191E-2</v>
      </c>
      <c r="U25" s="7">
        <f t="shared" si="4"/>
        <v>1</v>
      </c>
      <c r="V25" s="7">
        <v>0</v>
      </c>
      <c r="W25" s="7">
        <v>1</v>
      </c>
      <c r="X25" s="7">
        <v>1</v>
      </c>
      <c r="Y25" s="7">
        <v>0</v>
      </c>
      <c r="Z25" s="7">
        <f t="shared" si="5"/>
        <v>5</v>
      </c>
      <c r="AA25" s="7"/>
      <c r="AB25" s="7" t="s">
        <v>45</v>
      </c>
      <c r="AC25" s="7">
        <v>117</v>
      </c>
      <c r="AD25" s="7">
        <v>117</v>
      </c>
      <c r="AE25" s="7"/>
      <c r="AF25" s="7" t="s">
        <v>53</v>
      </c>
      <c r="AG25" s="7"/>
      <c r="AH25" s="7">
        <v>113582</v>
      </c>
      <c r="AI25" s="7"/>
      <c r="AJ25" s="7"/>
      <c r="AK25" s="7" t="s">
        <v>57</v>
      </c>
      <c r="AL25" s="15"/>
      <c r="AM25" s="15"/>
      <c r="AN25" s="15"/>
      <c r="AO25" s="15"/>
      <c r="AP25" s="15"/>
      <c r="AQ25" s="15"/>
      <c r="AR25" s="15"/>
    </row>
    <row r="26" spans="1:44" ht="22.5" customHeight="1">
      <c r="A26" s="4" t="s">
        <v>164</v>
      </c>
      <c r="B26" s="7" t="str">
        <f t="shared" si="0"/>
        <v>🥈</v>
      </c>
      <c r="C26" s="4" t="s">
        <v>40</v>
      </c>
      <c r="D26" s="4" t="s">
        <v>47</v>
      </c>
      <c r="E26" s="4" t="s">
        <v>48</v>
      </c>
      <c r="F26" s="4" t="s">
        <v>165</v>
      </c>
      <c r="G26" s="7"/>
      <c r="H26" s="8" t="s">
        <v>50</v>
      </c>
      <c r="I26" s="7"/>
      <c r="J26" s="7"/>
      <c r="K26" s="7"/>
      <c r="L26" s="7">
        <v>66</v>
      </c>
      <c r="M26" s="7">
        <v>65</v>
      </c>
      <c r="N26" s="7"/>
      <c r="O26" s="7">
        <v>61</v>
      </c>
      <c r="P26" s="34" t="s">
        <v>542</v>
      </c>
      <c r="Q26" s="17">
        <v>3600</v>
      </c>
      <c r="R26" s="10">
        <f t="shared" si="1"/>
        <v>1.5975100917253987E-2</v>
      </c>
      <c r="S26" s="7">
        <f t="shared" si="2"/>
        <v>2</v>
      </c>
      <c r="T26" s="11">
        <f t="shared" si="3"/>
        <v>8.1967213114754092E-2</v>
      </c>
      <c r="U26" s="7">
        <f t="shared" si="4"/>
        <v>1</v>
      </c>
      <c r="V26" s="7">
        <v>0</v>
      </c>
      <c r="W26" s="7">
        <v>1</v>
      </c>
      <c r="X26" s="7">
        <v>1</v>
      </c>
      <c r="Y26" s="7">
        <v>0</v>
      </c>
      <c r="Z26" s="7">
        <f t="shared" si="5"/>
        <v>5</v>
      </c>
      <c r="AA26" s="7"/>
      <c r="AB26" s="37" t="s">
        <v>45</v>
      </c>
      <c r="AC26" s="7">
        <v>43</v>
      </c>
      <c r="AD26" s="7">
        <v>61</v>
      </c>
      <c r="AE26" s="7" t="s">
        <v>179</v>
      </c>
      <c r="AF26" s="7" t="s">
        <v>53</v>
      </c>
      <c r="AG26" s="7" t="s">
        <v>167</v>
      </c>
      <c r="AH26" s="7">
        <v>43443</v>
      </c>
      <c r="AI26" s="37" t="s">
        <v>57</v>
      </c>
      <c r="AJ26" s="37" t="s">
        <v>57</v>
      </c>
      <c r="AK26" s="7" t="s">
        <v>57</v>
      </c>
    </row>
    <row r="27" spans="1:44" ht="22.5" customHeight="1">
      <c r="A27" s="4" t="s">
        <v>168</v>
      </c>
      <c r="B27" s="7" t="str">
        <f t="shared" si="0"/>
        <v>🥈</v>
      </c>
      <c r="C27" s="4" t="s">
        <v>40</v>
      </c>
      <c r="D27" s="4" t="s">
        <v>169</v>
      </c>
      <c r="E27" s="4" t="s">
        <v>170</v>
      </c>
      <c r="F27" s="4" t="s">
        <v>171</v>
      </c>
      <c r="G27" s="36"/>
      <c r="H27" s="8" t="s">
        <v>172</v>
      </c>
      <c r="I27" s="7"/>
      <c r="J27" s="7"/>
      <c r="K27" s="7"/>
      <c r="L27" s="7">
        <v>438</v>
      </c>
      <c r="M27" s="7">
        <v>447</v>
      </c>
      <c r="N27" s="7"/>
      <c r="O27" s="7">
        <v>430</v>
      </c>
      <c r="P27" s="27" t="s">
        <v>173</v>
      </c>
      <c r="Q27" s="7"/>
      <c r="R27" s="10">
        <f t="shared" si="1"/>
        <v>1.2482629160435717E-2</v>
      </c>
      <c r="S27" s="7">
        <f t="shared" si="2"/>
        <v>2</v>
      </c>
      <c r="T27" s="11">
        <f t="shared" si="3"/>
        <v>1.8604651162790697E-2</v>
      </c>
      <c r="U27" s="7">
        <f t="shared" si="4"/>
        <v>1</v>
      </c>
      <c r="V27" s="7">
        <v>0</v>
      </c>
      <c r="W27" s="7">
        <v>1</v>
      </c>
      <c r="X27" s="7">
        <v>1</v>
      </c>
      <c r="Y27" s="7">
        <v>0</v>
      </c>
      <c r="Z27" s="7">
        <f t="shared" si="5"/>
        <v>5</v>
      </c>
      <c r="AA27" s="7"/>
      <c r="AB27" s="7" t="s">
        <v>45</v>
      </c>
      <c r="AC27" s="7"/>
      <c r="AD27" s="7"/>
      <c r="AE27" s="7"/>
      <c r="AF27" s="7" t="s">
        <v>174</v>
      </c>
      <c r="AG27" s="7" t="s">
        <v>175</v>
      </c>
      <c r="AH27" s="7">
        <v>368967</v>
      </c>
      <c r="AI27" s="7"/>
      <c r="AJ27" s="7"/>
      <c r="AK27" s="7" t="s">
        <v>57</v>
      </c>
      <c r="AL27" s="15"/>
      <c r="AM27" s="15"/>
      <c r="AN27" s="15"/>
      <c r="AO27" s="15"/>
      <c r="AP27" s="15"/>
      <c r="AQ27" s="15"/>
      <c r="AR27" s="15"/>
    </row>
    <row r="28" spans="1:44" ht="22.5" customHeight="1">
      <c r="A28" s="7" t="s">
        <v>98</v>
      </c>
      <c r="B28" s="7" t="str">
        <f t="shared" si="0"/>
        <v>🥈</v>
      </c>
      <c r="C28" s="4" t="s">
        <v>40</v>
      </c>
      <c r="D28" s="4" t="s">
        <v>99</v>
      </c>
      <c r="E28" s="7" t="s">
        <v>100</v>
      </c>
      <c r="F28" s="7" t="s">
        <v>101</v>
      </c>
      <c r="G28" s="8"/>
      <c r="H28" s="8" t="s">
        <v>102</v>
      </c>
      <c r="I28" s="7"/>
      <c r="J28" s="7"/>
      <c r="K28" s="7"/>
      <c r="L28" s="7">
        <v>20</v>
      </c>
      <c r="M28" s="7">
        <v>22</v>
      </c>
      <c r="N28" s="7"/>
      <c r="O28" s="7">
        <v>1</v>
      </c>
      <c r="P28" s="79" t="s">
        <v>103</v>
      </c>
      <c r="Q28" s="17">
        <v>3200</v>
      </c>
      <c r="R28" s="10">
        <f t="shared" si="1"/>
        <v>1.547042387569081E-2</v>
      </c>
      <c r="S28" s="7">
        <f t="shared" si="2"/>
        <v>2</v>
      </c>
      <c r="T28" s="11">
        <f t="shared" si="3"/>
        <v>19</v>
      </c>
      <c r="U28" s="7">
        <f t="shared" si="4"/>
        <v>2</v>
      </c>
      <c r="V28" s="7">
        <v>0</v>
      </c>
      <c r="W28" s="7">
        <v>1</v>
      </c>
      <c r="X28" s="7">
        <v>1</v>
      </c>
      <c r="Y28" s="7">
        <v>0</v>
      </c>
      <c r="Z28" s="7">
        <f t="shared" si="5"/>
        <v>6</v>
      </c>
      <c r="AA28" s="7"/>
      <c r="AB28" s="7" t="s">
        <v>45</v>
      </c>
      <c r="AC28" s="7"/>
      <c r="AD28" s="7"/>
      <c r="AE28" s="7" t="s">
        <v>104</v>
      </c>
      <c r="AF28" s="7" t="s">
        <v>53</v>
      </c>
      <c r="AG28" s="7" t="s">
        <v>105</v>
      </c>
      <c r="AH28" s="7">
        <v>13594</v>
      </c>
      <c r="AI28" s="7"/>
      <c r="AJ28" s="7"/>
      <c r="AK28" s="7" t="s">
        <v>57</v>
      </c>
      <c r="AL28" s="15"/>
      <c r="AM28" s="15"/>
      <c r="AN28" s="15"/>
      <c r="AO28" s="15"/>
      <c r="AP28" s="15"/>
      <c r="AQ28" s="15"/>
      <c r="AR28" s="15"/>
    </row>
    <row r="29" spans="1:44" ht="22.5" customHeight="1">
      <c r="A29" s="7" t="s">
        <v>107</v>
      </c>
      <c r="B29" s="7" t="str">
        <f t="shared" si="0"/>
        <v>🥈</v>
      </c>
      <c r="C29" s="4" t="s">
        <v>40</v>
      </c>
      <c r="D29" s="7" t="s">
        <v>108</v>
      </c>
      <c r="E29" s="7" t="s">
        <v>109</v>
      </c>
      <c r="F29" s="7" t="s">
        <v>110</v>
      </c>
      <c r="G29" s="8"/>
      <c r="H29" s="8" t="s">
        <v>111</v>
      </c>
      <c r="I29" s="7"/>
      <c r="J29" s="7"/>
      <c r="K29" s="7"/>
      <c r="L29" s="7">
        <v>28</v>
      </c>
      <c r="M29" s="7">
        <v>28</v>
      </c>
      <c r="N29" s="7"/>
      <c r="O29" s="7">
        <v>1</v>
      </c>
      <c r="P29" s="80" t="s">
        <v>543</v>
      </c>
      <c r="Q29" s="17">
        <v>3200</v>
      </c>
      <c r="R29" s="10">
        <f t="shared" si="1"/>
        <v>2.1296703004166164E-2</v>
      </c>
      <c r="S29" s="7">
        <f t="shared" si="2"/>
        <v>2</v>
      </c>
      <c r="T29" s="11">
        <f t="shared" si="3"/>
        <v>27</v>
      </c>
      <c r="U29" s="7">
        <f t="shared" si="4"/>
        <v>2</v>
      </c>
      <c r="V29" s="7">
        <v>0</v>
      </c>
      <c r="W29" s="7">
        <v>1</v>
      </c>
      <c r="X29" s="7">
        <v>1</v>
      </c>
      <c r="Y29" s="7">
        <v>0</v>
      </c>
      <c r="Z29" s="7">
        <f t="shared" si="5"/>
        <v>6</v>
      </c>
      <c r="AA29" s="7"/>
      <c r="AB29" s="7"/>
      <c r="AC29" s="7"/>
      <c r="AD29" s="7"/>
      <c r="AE29" s="7" t="s">
        <v>113</v>
      </c>
      <c r="AF29" s="7" t="s">
        <v>53</v>
      </c>
      <c r="AG29" s="7" t="s">
        <v>77</v>
      </c>
      <c r="AH29" s="7">
        <v>13825</v>
      </c>
      <c r="AI29" s="7"/>
      <c r="AJ29" s="7"/>
      <c r="AK29" s="7" t="s">
        <v>57</v>
      </c>
      <c r="AL29" s="15"/>
      <c r="AM29" s="15"/>
      <c r="AN29" s="15"/>
      <c r="AO29" s="15"/>
      <c r="AP29" s="15"/>
      <c r="AQ29" s="15"/>
      <c r="AR29" s="15"/>
    </row>
    <row r="30" spans="1:44" ht="22.5" customHeight="1">
      <c r="A30" s="7" t="s">
        <v>116</v>
      </c>
      <c r="B30" s="7" t="str">
        <f t="shared" si="0"/>
        <v>🥈</v>
      </c>
      <c r="C30" s="4" t="s">
        <v>40</v>
      </c>
      <c r="D30" s="4" t="s">
        <v>117</v>
      </c>
      <c r="E30" s="24" t="s">
        <v>118</v>
      </c>
      <c r="F30" s="7" t="s">
        <v>119</v>
      </c>
      <c r="G30" s="25" t="s">
        <v>120</v>
      </c>
      <c r="H30" s="26" t="s">
        <v>121</v>
      </c>
      <c r="I30" s="7"/>
      <c r="J30" s="7"/>
      <c r="K30" s="7"/>
      <c r="L30" s="7">
        <v>23</v>
      </c>
      <c r="M30" s="7">
        <v>24</v>
      </c>
      <c r="N30" s="7"/>
      <c r="O30" s="7">
        <v>1</v>
      </c>
      <c r="P30" s="21" t="s">
        <v>122</v>
      </c>
      <c r="Q30" s="17">
        <v>3800</v>
      </c>
      <c r="R30" s="10">
        <f t="shared" si="1"/>
        <v>1.8032410042578439E-2</v>
      </c>
      <c r="S30" s="7">
        <f t="shared" si="2"/>
        <v>2</v>
      </c>
      <c r="T30" s="11">
        <f t="shared" si="3"/>
        <v>22</v>
      </c>
      <c r="U30" s="7">
        <f t="shared" si="4"/>
        <v>2</v>
      </c>
      <c r="V30" s="7">
        <v>0</v>
      </c>
      <c r="W30" s="7">
        <v>1</v>
      </c>
      <c r="X30" s="7">
        <v>1</v>
      </c>
      <c r="Y30" s="7">
        <v>0</v>
      </c>
      <c r="Z30" s="7">
        <f t="shared" si="5"/>
        <v>6</v>
      </c>
      <c r="AA30" s="7"/>
      <c r="AB30" s="7"/>
      <c r="AC30" s="7"/>
      <c r="AD30" s="7"/>
      <c r="AE30" s="7" t="s">
        <v>76</v>
      </c>
      <c r="AF30" s="7" t="s">
        <v>53</v>
      </c>
      <c r="AG30" s="7" t="s">
        <v>77</v>
      </c>
      <c r="AH30" s="81">
        <v>13412</v>
      </c>
      <c r="AI30" s="7"/>
      <c r="AJ30" s="7"/>
      <c r="AK30" s="7" t="s">
        <v>57</v>
      </c>
      <c r="AL30" s="15"/>
      <c r="AM30" s="15"/>
      <c r="AN30" s="15"/>
      <c r="AO30" s="15"/>
      <c r="AP30" s="15"/>
      <c r="AQ30" s="15"/>
      <c r="AR30" s="15"/>
    </row>
    <row r="31" spans="1:44" ht="22.5" customHeight="1">
      <c r="A31" s="7" t="s">
        <v>125</v>
      </c>
      <c r="B31" s="7" t="str">
        <f t="shared" si="0"/>
        <v>🥈</v>
      </c>
      <c r="C31" s="4" t="s">
        <v>40</v>
      </c>
      <c r="D31" s="7" t="s">
        <v>126</v>
      </c>
      <c r="E31" s="7" t="s">
        <v>127</v>
      </c>
      <c r="F31" s="7" t="s">
        <v>128</v>
      </c>
      <c r="G31" s="8"/>
      <c r="H31" s="8" t="s">
        <v>129</v>
      </c>
      <c r="I31" s="7"/>
      <c r="J31" s="7"/>
      <c r="K31" s="7"/>
      <c r="L31" s="7">
        <v>61</v>
      </c>
      <c r="M31" s="7">
        <v>61</v>
      </c>
      <c r="N31" s="7"/>
      <c r="O31" s="7">
        <v>56</v>
      </c>
      <c r="P31" s="19" t="s">
        <v>130</v>
      </c>
      <c r="Q31" s="17">
        <v>3000</v>
      </c>
      <c r="R31" s="10">
        <f t="shared" si="1"/>
        <v>5.3182163469590399E-2</v>
      </c>
      <c r="S31" s="7">
        <f t="shared" si="2"/>
        <v>3</v>
      </c>
      <c r="T31" s="11">
        <f t="shared" si="3"/>
        <v>8.9285714285714288E-2</v>
      </c>
      <c r="U31" s="7">
        <f t="shared" si="4"/>
        <v>1</v>
      </c>
      <c r="V31" s="7">
        <v>0</v>
      </c>
      <c r="W31" s="7">
        <v>1</v>
      </c>
      <c r="X31" s="7">
        <v>1</v>
      </c>
      <c r="Y31" s="7">
        <v>0</v>
      </c>
      <c r="Z31" s="7">
        <f t="shared" si="5"/>
        <v>6</v>
      </c>
      <c r="AA31" s="7"/>
      <c r="AB31" s="7" t="s">
        <v>57</v>
      </c>
      <c r="AC31" s="7"/>
      <c r="AD31" s="7">
        <v>56</v>
      </c>
      <c r="AE31" s="7" t="s">
        <v>131</v>
      </c>
      <c r="AF31" s="7" t="s">
        <v>53</v>
      </c>
      <c r="AG31" s="7" t="s">
        <v>133</v>
      </c>
      <c r="AH31" s="7">
        <v>12061</v>
      </c>
      <c r="AI31" s="7" t="s">
        <v>57</v>
      </c>
      <c r="AJ31" s="7" t="s">
        <v>57</v>
      </c>
      <c r="AK31" s="7" t="s">
        <v>57</v>
      </c>
      <c r="AL31" s="15"/>
      <c r="AM31" s="15"/>
      <c r="AN31" s="15"/>
      <c r="AO31" s="15"/>
      <c r="AP31" s="15"/>
      <c r="AQ31" s="15"/>
      <c r="AR31" s="15"/>
    </row>
    <row r="32" spans="1:44" ht="22.5" customHeight="1">
      <c r="A32" s="7" t="s">
        <v>135</v>
      </c>
      <c r="B32" s="7" t="str">
        <f t="shared" si="0"/>
        <v>🥈</v>
      </c>
      <c r="C32" s="4" t="s">
        <v>40</v>
      </c>
      <c r="D32" s="7" t="s">
        <v>108</v>
      </c>
      <c r="E32" s="37" t="s">
        <v>109</v>
      </c>
      <c r="F32" s="7" t="s">
        <v>136</v>
      </c>
      <c r="G32" s="8"/>
      <c r="H32" s="8" t="s">
        <v>111</v>
      </c>
      <c r="I32" s="7"/>
      <c r="J32" s="7"/>
      <c r="K32" s="7"/>
      <c r="L32" s="7">
        <v>76</v>
      </c>
      <c r="M32" s="7">
        <v>83</v>
      </c>
      <c r="N32" s="7"/>
      <c r="O32" s="7">
        <v>63</v>
      </c>
      <c r="P32" s="82" t="s">
        <v>137</v>
      </c>
      <c r="Q32" s="29">
        <v>3200</v>
      </c>
      <c r="R32" s="10">
        <f t="shared" si="1"/>
        <v>1.4491690788658024E-2</v>
      </c>
      <c r="S32" s="30">
        <f t="shared" si="2"/>
        <v>2</v>
      </c>
      <c r="T32" s="11">
        <f t="shared" si="3"/>
        <v>0.20634920634920634</v>
      </c>
      <c r="U32" s="30">
        <f t="shared" si="4"/>
        <v>2</v>
      </c>
      <c r="V32" s="7">
        <v>0</v>
      </c>
      <c r="W32" s="7">
        <v>1</v>
      </c>
      <c r="X32" s="7">
        <v>1</v>
      </c>
      <c r="Y32" s="7">
        <v>0</v>
      </c>
      <c r="Z32" s="7">
        <f t="shared" si="5"/>
        <v>6</v>
      </c>
      <c r="AA32" s="30"/>
      <c r="AB32" s="7" t="s">
        <v>45</v>
      </c>
      <c r="AC32" s="7"/>
      <c r="AD32" s="7">
        <v>63</v>
      </c>
      <c r="AE32" s="31" t="s">
        <v>113</v>
      </c>
      <c r="AF32" s="7" t="s">
        <v>53</v>
      </c>
      <c r="AG32" s="7" t="s">
        <v>86</v>
      </c>
      <c r="AH32" s="7">
        <v>55146</v>
      </c>
      <c r="AI32" s="7" t="s">
        <v>57</v>
      </c>
      <c r="AJ32" s="7" t="s">
        <v>57</v>
      </c>
      <c r="AK32" s="7" t="s">
        <v>57</v>
      </c>
      <c r="AL32" s="15"/>
      <c r="AM32" s="15"/>
      <c r="AN32" s="15"/>
      <c r="AO32" s="15"/>
      <c r="AP32" s="15"/>
      <c r="AQ32" s="15"/>
      <c r="AR32" s="15"/>
    </row>
    <row r="33" spans="1:44" ht="22.5" customHeight="1">
      <c r="A33" s="7" t="s">
        <v>138</v>
      </c>
      <c r="B33" s="7" t="str">
        <f t="shared" si="0"/>
        <v>🥈</v>
      </c>
      <c r="C33" s="4" t="s">
        <v>40</v>
      </c>
      <c r="D33" s="7" t="s">
        <v>139</v>
      </c>
      <c r="E33" s="7" t="s">
        <v>140</v>
      </c>
      <c r="F33" s="7" t="s">
        <v>141</v>
      </c>
      <c r="G33" s="8"/>
      <c r="H33" s="8" t="s">
        <v>142</v>
      </c>
      <c r="I33" s="7"/>
      <c r="J33" s="7"/>
      <c r="K33" s="7"/>
      <c r="L33" s="7">
        <v>61</v>
      </c>
      <c r="M33" s="7">
        <v>49</v>
      </c>
      <c r="N33" s="7"/>
      <c r="O33" s="7">
        <v>1</v>
      </c>
      <c r="P33" s="27" t="s">
        <v>143</v>
      </c>
      <c r="Q33" s="17">
        <v>3200</v>
      </c>
      <c r="R33" s="10">
        <f t="shared" si="1"/>
        <v>1.8021748527948127E-2</v>
      </c>
      <c r="S33" s="7">
        <f t="shared" si="2"/>
        <v>2</v>
      </c>
      <c r="T33" s="11">
        <f t="shared" si="3"/>
        <v>60</v>
      </c>
      <c r="U33" s="7">
        <f t="shared" si="4"/>
        <v>2</v>
      </c>
      <c r="V33" s="7">
        <v>0</v>
      </c>
      <c r="W33" s="7">
        <v>1</v>
      </c>
      <c r="X33" s="7">
        <v>1</v>
      </c>
      <c r="Y33" s="7">
        <v>0</v>
      </c>
      <c r="Z33" s="7">
        <f t="shared" si="5"/>
        <v>6</v>
      </c>
      <c r="AA33" s="7"/>
      <c r="AB33" s="7" t="s">
        <v>45</v>
      </c>
      <c r="AC33" s="7"/>
      <c r="AD33" s="7"/>
      <c r="AE33" s="7"/>
      <c r="AF33" s="7" t="s">
        <v>53</v>
      </c>
      <c r="AG33" s="7" t="s">
        <v>86</v>
      </c>
      <c r="AH33" s="7">
        <v>35592</v>
      </c>
      <c r="AI33" s="7"/>
      <c r="AJ33" s="7"/>
      <c r="AK33" s="7" t="s">
        <v>57</v>
      </c>
      <c r="AL33" s="15"/>
      <c r="AM33" s="15"/>
      <c r="AN33" s="15"/>
      <c r="AO33" s="15"/>
      <c r="AP33" s="15"/>
      <c r="AQ33" s="15"/>
      <c r="AR33" s="15"/>
    </row>
    <row r="34" spans="1:44" ht="22.5" customHeight="1">
      <c r="A34" s="7" t="s">
        <v>60</v>
      </c>
      <c r="B34" s="7" t="str">
        <f t="shared" si="0"/>
        <v>🏆</v>
      </c>
      <c r="C34" s="4" t="s">
        <v>40</v>
      </c>
      <c r="D34" s="4" t="s">
        <v>61</v>
      </c>
      <c r="E34" s="37" t="s">
        <v>62</v>
      </c>
      <c r="F34" s="7" t="s">
        <v>63</v>
      </c>
      <c r="G34" s="8"/>
      <c r="H34" s="8" t="s">
        <v>64</v>
      </c>
      <c r="I34" s="7"/>
      <c r="J34" s="7"/>
      <c r="K34" s="7"/>
      <c r="L34" s="7">
        <v>88</v>
      </c>
      <c r="M34" s="7">
        <v>87</v>
      </c>
      <c r="N34" s="7"/>
      <c r="O34" s="7">
        <v>1</v>
      </c>
      <c r="P34" s="19" t="s">
        <v>65</v>
      </c>
      <c r="Q34" s="17">
        <v>3200</v>
      </c>
      <c r="R34" s="10">
        <f t="shared" si="1"/>
        <v>0.10726112733638807</v>
      </c>
      <c r="S34" s="7">
        <f t="shared" si="2"/>
        <v>3</v>
      </c>
      <c r="T34" s="11">
        <f t="shared" si="3"/>
        <v>87</v>
      </c>
      <c r="U34" s="7">
        <f t="shared" si="4"/>
        <v>2</v>
      </c>
      <c r="V34" s="7">
        <v>0</v>
      </c>
      <c r="W34" s="7">
        <v>1</v>
      </c>
      <c r="X34" s="7">
        <v>1</v>
      </c>
      <c r="Y34" s="7">
        <v>0</v>
      </c>
      <c r="Z34" s="7">
        <f t="shared" si="5"/>
        <v>7</v>
      </c>
      <c r="AA34" s="7"/>
      <c r="AB34" s="7" t="s">
        <v>45</v>
      </c>
      <c r="AC34" s="7"/>
      <c r="AD34" s="7"/>
      <c r="AE34" s="7" t="s">
        <v>66</v>
      </c>
      <c r="AF34" s="7" t="s">
        <v>53</v>
      </c>
      <c r="AG34" s="7" t="s">
        <v>67</v>
      </c>
      <c r="AH34" s="7">
        <v>8627</v>
      </c>
      <c r="AI34" s="7"/>
      <c r="AJ34" s="7"/>
      <c r="AK34" s="7" t="s">
        <v>57</v>
      </c>
      <c r="AL34" s="15"/>
      <c r="AM34" s="15"/>
      <c r="AN34" s="15"/>
      <c r="AO34" s="15"/>
      <c r="AP34" s="15"/>
      <c r="AQ34" s="15"/>
      <c r="AR34" s="15"/>
    </row>
    <row r="35" spans="1:44" ht="22.5" customHeight="1">
      <c r="A35" s="7" t="s">
        <v>70</v>
      </c>
      <c r="B35" s="7" t="str">
        <f t="shared" si="0"/>
        <v>🏆</v>
      </c>
      <c r="C35" s="4" t="s">
        <v>40</v>
      </c>
      <c r="D35" s="4" t="s">
        <v>71</v>
      </c>
      <c r="E35" s="7" t="s">
        <v>72</v>
      </c>
      <c r="F35" s="7" t="s">
        <v>73</v>
      </c>
      <c r="G35" s="8"/>
      <c r="H35" s="8" t="s">
        <v>74</v>
      </c>
      <c r="I35" s="7"/>
      <c r="J35" s="7"/>
      <c r="K35" s="7"/>
      <c r="L35" s="7">
        <v>47</v>
      </c>
      <c r="M35" s="7">
        <v>47</v>
      </c>
      <c r="N35" s="7"/>
      <c r="O35" s="7">
        <v>1</v>
      </c>
      <c r="P35" s="21" t="s">
        <v>75</v>
      </c>
      <c r="Q35" s="17">
        <v>3200</v>
      </c>
      <c r="R35" s="10">
        <f t="shared" si="1"/>
        <v>3.5341577094567443E-2</v>
      </c>
      <c r="S35" s="7">
        <f t="shared" si="2"/>
        <v>3</v>
      </c>
      <c r="T35" s="11">
        <f t="shared" si="3"/>
        <v>46</v>
      </c>
      <c r="U35" s="7">
        <f t="shared" si="4"/>
        <v>2</v>
      </c>
      <c r="V35" s="7">
        <v>0</v>
      </c>
      <c r="W35" s="7">
        <v>1</v>
      </c>
      <c r="X35" s="7">
        <v>1</v>
      </c>
      <c r="Y35" s="7">
        <v>0</v>
      </c>
      <c r="Z35" s="7">
        <f t="shared" si="5"/>
        <v>7</v>
      </c>
      <c r="AA35" s="7"/>
      <c r="AB35" s="7" t="s">
        <v>45</v>
      </c>
      <c r="AC35" s="7"/>
      <c r="AD35" s="7"/>
      <c r="AE35" s="7" t="s">
        <v>76</v>
      </c>
      <c r="AF35" s="7" t="s">
        <v>53</v>
      </c>
      <c r="AG35" s="7" t="s">
        <v>77</v>
      </c>
      <c r="AH35" s="7">
        <v>13984</v>
      </c>
      <c r="AI35" s="7"/>
      <c r="AJ35" s="7"/>
      <c r="AK35" s="7" t="s">
        <v>57</v>
      </c>
      <c r="AL35" s="15"/>
      <c r="AM35" s="15"/>
      <c r="AN35" s="15"/>
      <c r="AO35" s="15"/>
      <c r="AP35" s="15"/>
      <c r="AQ35" s="15"/>
      <c r="AR35" s="15"/>
    </row>
    <row r="36" spans="1:44" ht="22.5" customHeight="1">
      <c r="A36" s="7" t="s">
        <v>79</v>
      </c>
      <c r="B36" s="7" t="str">
        <f t="shared" si="0"/>
        <v>🏆</v>
      </c>
      <c r="C36" s="4" t="s">
        <v>40</v>
      </c>
      <c r="D36" s="7" t="s">
        <v>80</v>
      </c>
      <c r="E36" s="7" t="s">
        <v>81</v>
      </c>
      <c r="F36" s="7" t="s">
        <v>82</v>
      </c>
      <c r="G36" s="8"/>
      <c r="H36" s="8" t="s">
        <v>83</v>
      </c>
      <c r="I36" s="7"/>
      <c r="J36" s="7"/>
      <c r="K36" s="7"/>
      <c r="L36" s="7">
        <v>145</v>
      </c>
      <c r="M36" s="7">
        <v>138</v>
      </c>
      <c r="N36" s="7"/>
      <c r="O36" s="7">
        <v>110</v>
      </c>
      <c r="P36" s="19" t="s">
        <v>544</v>
      </c>
      <c r="Q36" s="17">
        <v>3500</v>
      </c>
      <c r="R36" s="10">
        <f t="shared" si="1"/>
        <v>1.3206219192964485E-2</v>
      </c>
      <c r="S36" s="7">
        <f t="shared" si="2"/>
        <v>2</v>
      </c>
      <c r="T36" s="11">
        <f t="shared" si="3"/>
        <v>0.31818181818181818</v>
      </c>
      <c r="U36" s="7">
        <f t="shared" si="4"/>
        <v>2</v>
      </c>
      <c r="V36" s="7">
        <v>1</v>
      </c>
      <c r="W36" s="7">
        <v>1</v>
      </c>
      <c r="X36" s="7">
        <v>1</v>
      </c>
      <c r="Y36" s="7">
        <v>0</v>
      </c>
      <c r="Z36" s="7">
        <f t="shared" si="5"/>
        <v>7</v>
      </c>
      <c r="AA36" s="7"/>
      <c r="AB36" s="7" t="s">
        <v>45</v>
      </c>
      <c r="AC36" s="7"/>
      <c r="AD36" s="7">
        <v>110</v>
      </c>
      <c r="AE36" s="7" t="s">
        <v>85</v>
      </c>
      <c r="AF36" s="7" t="s">
        <v>53</v>
      </c>
      <c r="AG36" s="7" t="s">
        <v>86</v>
      </c>
      <c r="AH36" s="7">
        <v>115454</v>
      </c>
      <c r="AI36" s="7"/>
      <c r="AJ36" s="7"/>
      <c r="AK36" s="7" t="s">
        <v>57</v>
      </c>
      <c r="AL36" s="15"/>
      <c r="AM36" s="15"/>
      <c r="AN36" s="15"/>
      <c r="AO36" s="15"/>
      <c r="AP36" s="15"/>
      <c r="AQ36" s="15"/>
      <c r="AR36" s="15"/>
    </row>
    <row r="37" spans="1:44" ht="22.5" customHeight="1">
      <c r="A37" s="7" t="s">
        <v>89</v>
      </c>
      <c r="B37" s="7" t="str">
        <f t="shared" si="0"/>
        <v>🏆</v>
      </c>
      <c r="C37" s="4" t="s">
        <v>40</v>
      </c>
      <c r="D37" s="4" t="s">
        <v>90</v>
      </c>
      <c r="E37" s="7" t="s">
        <v>91</v>
      </c>
      <c r="F37" s="7" t="s">
        <v>92</v>
      </c>
      <c r="G37" s="8"/>
      <c r="H37" s="8" t="s">
        <v>93</v>
      </c>
      <c r="I37" s="7"/>
      <c r="J37" s="7"/>
      <c r="K37" s="7"/>
      <c r="L37" s="7">
        <v>136</v>
      </c>
      <c r="M37" s="7">
        <v>137</v>
      </c>
      <c r="N37" s="7"/>
      <c r="O37" s="7">
        <v>1</v>
      </c>
      <c r="P37" s="34" t="s">
        <v>94</v>
      </c>
      <c r="Q37" s="17">
        <v>3500</v>
      </c>
      <c r="R37" s="10">
        <f t="shared" si="1"/>
        <v>1.7404052705153501E-2</v>
      </c>
      <c r="S37" s="7">
        <f t="shared" si="2"/>
        <v>2</v>
      </c>
      <c r="T37" s="11">
        <f t="shared" si="3"/>
        <v>135</v>
      </c>
      <c r="U37" s="7">
        <f t="shared" si="4"/>
        <v>2</v>
      </c>
      <c r="V37" s="7">
        <v>1</v>
      </c>
      <c r="W37" s="7">
        <v>1</v>
      </c>
      <c r="X37" s="7">
        <v>1</v>
      </c>
      <c r="Y37" s="7">
        <v>0</v>
      </c>
      <c r="Z37" s="7">
        <f t="shared" si="5"/>
        <v>7</v>
      </c>
      <c r="AA37" s="7"/>
      <c r="AB37" s="7" t="s">
        <v>45</v>
      </c>
      <c r="AC37" s="7"/>
      <c r="AD37" s="7"/>
      <c r="AE37" s="7" t="s">
        <v>95</v>
      </c>
      <c r="AF37" s="7" t="s">
        <v>53</v>
      </c>
      <c r="AG37" s="7" t="s">
        <v>67</v>
      </c>
      <c r="AH37" s="7">
        <v>82169</v>
      </c>
      <c r="AI37" s="7" t="s">
        <v>57</v>
      </c>
      <c r="AJ37" s="7" t="s">
        <v>57</v>
      </c>
      <c r="AK37" s="7" t="s">
        <v>57</v>
      </c>
      <c r="AL37" s="15"/>
      <c r="AM37" s="15"/>
      <c r="AN37" s="15"/>
      <c r="AO37" s="15"/>
      <c r="AP37" s="15"/>
      <c r="AQ37" s="15"/>
      <c r="AR37" s="15"/>
    </row>
    <row r="38" spans="1:44" ht="22.5" customHeight="1">
      <c r="A38" s="4" t="s">
        <v>46</v>
      </c>
      <c r="B38" s="7" t="str">
        <f t="shared" si="0"/>
        <v>🏆</v>
      </c>
      <c r="C38" s="4" t="s">
        <v>40</v>
      </c>
      <c r="D38" s="4" t="s">
        <v>47</v>
      </c>
      <c r="E38" s="4" t="s">
        <v>48</v>
      </c>
      <c r="F38" s="4" t="s">
        <v>49</v>
      </c>
      <c r="G38" s="8"/>
      <c r="H38" s="8" t="s">
        <v>50</v>
      </c>
      <c r="I38" s="7"/>
      <c r="J38" s="7"/>
      <c r="K38" s="7"/>
      <c r="L38" s="7">
        <v>206</v>
      </c>
      <c r="M38" s="7">
        <v>207</v>
      </c>
      <c r="N38" s="7"/>
      <c r="O38" s="7">
        <v>181</v>
      </c>
      <c r="P38" s="34" t="s">
        <v>51</v>
      </c>
      <c r="Q38" s="17">
        <v>3600</v>
      </c>
      <c r="R38" s="10">
        <f t="shared" si="1"/>
        <v>3.475947405743527E-2</v>
      </c>
      <c r="S38" s="7">
        <f t="shared" si="2"/>
        <v>3</v>
      </c>
      <c r="T38" s="11">
        <f t="shared" si="3"/>
        <v>0.13812154696132597</v>
      </c>
      <c r="U38" s="7">
        <f t="shared" si="4"/>
        <v>2</v>
      </c>
      <c r="V38" s="7">
        <v>1</v>
      </c>
      <c r="W38" s="7">
        <v>1</v>
      </c>
      <c r="X38" s="7">
        <v>1</v>
      </c>
      <c r="Y38" s="7">
        <v>0</v>
      </c>
      <c r="Z38" s="7">
        <f t="shared" si="5"/>
        <v>8</v>
      </c>
      <c r="AA38" s="7"/>
      <c r="AB38" s="7" t="s">
        <v>45</v>
      </c>
      <c r="AC38" s="7">
        <v>133</v>
      </c>
      <c r="AD38" s="7">
        <v>181</v>
      </c>
      <c r="AE38" s="7" t="s">
        <v>179</v>
      </c>
      <c r="AF38" s="7" t="s">
        <v>53</v>
      </c>
      <c r="AG38" s="7" t="s">
        <v>55</v>
      </c>
      <c r="AH38" s="7">
        <v>62318</v>
      </c>
      <c r="AI38" s="7" t="s">
        <v>57</v>
      </c>
      <c r="AJ38" s="7" t="s">
        <v>57</v>
      </c>
      <c r="AK38" s="7" t="s">
        <v>57</v>
      </c>
      <c r="AL38" s="15"/>
      <c r="AM38" s="15"/>
      <c r="AN38" s="15"/>
      <c r="AO38" s="15"/>
      <c r="AP38" s="15"/>
      <c r="AQ38" s="15"/>
      <c r="AR38" s="15"/>
    </row>
    <row r="39" spans="1:44" ht="22.5" customHeight="1">
      <c r="A39" s="4" t="s">
        <v>317</v>
      </c>
      <c r="B39" s="7" t="e">
        <f t="shared" si="0"/>
        <v>#DIV/0!</v>
      </c>
      <c r="C39" s="4" t="s">
        <v>40</v>
      </c>
      <c r="D39" s="7" t="s">
        <v>80</v>
      </c>
      <c r="E39" s="7" t="s">
        <v>81</v>
      </c>
      <c r="F39" s="7" t="s">
        <v>318</v>
      </c>
      <c r="G39" s="8"/>
      <c r="H39" s="8" t="s">
        <v>83</v>
      </c>
      <c r="I39" s="7"/>
      <c r="J39" s="7"/>
      <c r="K39" s="7"/>
      <c r="L39" s="7"/>
      <c r="M39" s="7"/>
      <c r="N39" s="7"/>
      <c r="O39" s="7"/>
      <c r="P39" s="16"/>
      <c r="Q39" s="17">
        <v>4500</v>
      </c>
      <c r="R39" s="10" t="e">
        <f t="shared" si="1"/>
        <v>#DIV/0!</v>
      </c>
      <c r="S39" s="7" t="e">
        <f t="shared" si="2"/>
        <v>#DIV/0!</v>
      </c>
      <c r="T39" s="11" t="e">
        <f t="shared" si="3"/>
        <v>#DIV/0!</v>
      </c>
      <c r="U39" s="7" t="e">
        <f t="shared" si="4"/>
        <v>#DIV/0!</v>
      </c>
      <c r="V39" s="7"/>
      <c r="W39" s="7"/>
      <c r="X39" s="7"/>
      <c r="Y39" s="7"/>
      <c r="Z39" s="7" t="e">
        <f t="shared" si="5"/>
        <v>#DIV/0!</v>
      </c>
      <c r="AA39" s="7"/>
      <c r="AB39" s="7"/>
      <c r="AC39" s="7"/>
      <c r="AD39" s="7"/>
      <c r="AE39" s="7"/>
      <c r="AF39" s="7" t="s">
        <v>53</v>
      </c>
      <c r="AG39" s="7"/>
      <c r="AH39" s="7"/>
      <c r="AI39" s="7"/>
      <c r="AJ39" s="7"/>
      <c r="AK39" s="7"/>
      <c r="AL39" s="15"/>
      <c r="AM39" s="15"/>
      <c r="AN39" s="15"/>
      <c r="AO39" s="15"/>
      <c r="AP39" s="15"/>
      <c r="AQ39" s="15"/>
      <c r="AR39" s="15"/>
    </row>
    <row r="40" spans="1:44" ht="22.5" customHeight="1">
      <c r="A40" s="4" t="s">
        <v>321</v>
      </c>
      <c r="B40" s="7" t="e">
        <f t="shared" si="0"/>
        <v>#DIV/0!</v>
      </c>
      <c r="C40" s="4" t="s">
        <v>40</v>
      </c>
      <c r="D40" s="4" t="s">
        <v>47</v>
      </c>
      <c r="E40" s="4" t="s">
        <v>48</v>
      </c>
      <c r="F40" s="4" t="s">
        <v>322</v>
      </c>
      <c r="G40" s="8"/>
      <c r="H40" s="8" t="s">
        <v>50</v>
      </c>
      <c r="I40" s="7"/>
      <c r="J40" s="7"/>
      <c r="K40" s="7"/>
      <c r="L40" s="7"/>
      <c r="M40" s="7"/>
      <c r="N40" s="7"/>
      <c r="O40" s="7"/>
      <c r="P40" s="16"/>
      <c r="Q40" s="17">
        <v>5000</v>
      </c>
      <c r="R40" s="10" t="e">
        <f t="shared" si="1"/>
        <v>#DIV/0!</v>
      </c>
      <c r="S40" s="7" t="e">
        <f t="shared" si="2"/>
        <v>#DIV/0!</v>
      </c>
      <c r="T40" s="11" t="e">
        <f t="shared" si="3"/>
        <v>#DIV/0!</v>
      </c>
      <c r="U40" s="7" t="e">
        <f t="shared" si="4"/>
        <v>#DIV/0!</v>
      </c>
      <c r="V40" s="7"/>
      <c r="W40" s="7"/>
      <c r="X40" s="7"/>
      <c r="Y40" s="7"/>
      <c r="Z40" s="7" t="e">
        <f t="shared" si="5"/>
        <v>#DIV/0!</v>
      </c>
      <c r="AA40" s="7"/>
      <c r="AB40" s="7"/>
      <c r="AC40" s="7"/>
      <c r="AD40" s="7"/>
      <c r="AE40" s="7"/>
      <c r="AF40" s="7" t="s">
        <v>53</v>
      </c>
      <c r="AG40" s="7"/>
      <c r="AH40" s="7"/>
      <c r="AI40" s="7"/>
      <c r="AJ40" s="7"/>
      <c r="AK40" s="7"/>
      <c r="AL40" s="15"/>
      <c r="AM40" s="15"/>
      <c r="AN40" s="15"/>
      <c r="AO40" s="15"/>
      <c r="AP40" s="15"/>
      <c r="AQ40" s="15"/>
      <c r="AR40" s="15"/>
    </row>
    <row r="41" spans="1:44" ht="22.5" customHeight="1">
      <c r="A41" s="4" t="s">
        <v>324</v>
      </c>
      <c r="B41" s="7" t="e">
        <f t="shared" si="0"/>
        <v>#DIV/0!</v>
      </c>
      <c r="C41" s="4" t="s">
        <v>40</v>
      </c>
      <c r="D41" s="4" t="s">
        <v>325</v>
      </c>
      <c r="E41" s="39" t="s">
        <v>326</v>
      </c>
      <c r="F41" s="7" t="s">
        <v>327</v>
      </c>
      <c r="G41" s="8"/>
      <c r="H41" s="8" t="s">
        <v>328</v>
      </c>
      <c r="I41" s="7"/>
      <c r="J41" s="7"/>
      <c r="K41" s="7"/>
      <c r="L41" s="7"/>
      <c r="M41" s="7"/>
      <c r="N41" s="7"/>
      <c r="O41" s="7"/>
      <c r="P41" s="16"/>
      <c r="Q41" s="17">
        <v>3900</v>
      </c>
      <c r="R41" s="10" t="e">
        <f t="shared" si="1"/>
        <v>#DIV/0!</v>
      </c>
      <c r="S41" s="7" t="e">
        <f t="shared" si="2"/>
        <v>#DIV/0!</v>
      </c>
      <c r="T41" s="11" t="e">
        <f t="shared" si="3"/>
        <v>#DIV/0!</v>
      </c>
      <c r="U41" s="7" t="e">
        <f t="shared" si="4"/>
        <v>#DIV/0!</v>
      </c>
      <c r="V41" s="7"/>
      <c r="W41" s="7"/>
      <c r="X41" s="7"/>
      <c r="Y41" s="7"/>
      <c r="Z41" s="7" t="e">
        <f t="shared" si="5"/>
        <v>#DIV/0!</v>
      </c>
      <c r="AA41" s="7"/>
      <c r="AB41" s="7"/>
      <c r="AC41" s="7"/>
      <c r="AD41" s="7"/>
      <c r="AE41" s="7"/>
      <c r="AF41" s="7" t="s">
        <v>53</v>
      </c>
      <c r="AG41" s="7"/>
      <c r="AH41" s="7"/>
      <c r="AI41" s="7"/>
      <c r="AJ41" s="7"/>
      <c r="AK41" s="7"/>
      <c r="AL41" s="15"/>
      <c r="AM41" s="15"/>
      <c r="AN41" s="15"/>
      <c r="AO41" s="15"/>
      <c r="AP41" s="15"/>
      <c r="AQ41" s="15"/>
      <c r="AR41" s="15"/>
    </row>
    <row r="42" spans="1:44" ht="22.5" customHeight="1">
      <c r="A42" s="4" t="s">
        <v>332</v>
      </c>
      <c r="B42" s="7" t="e">
        <f t="shared" si="0"/>
        <v>#DIV/0!</v>
      </c>
      <c r="C42" s="4" t="s">
        <v>40</v>
      </c>
      <c r="D42" s="4" t="s">
        <v>333</v>
      </c>
      <c r="E42" s="24" t="s">
        <v>334</v>
      </c>
      <c r="F42" s="7" t="s">
        <v>335</v>
      </c>
      <c r="G42" s="8"/>
      <c r="H42" s="8" t="s">
        <v>336</v>
      </c>
      <c r="I42" s="7"/>
      <c r="J42" s="7"/>
      <c r="K42" s="7"/>
      <c r="L42" s="7"/>
      <c r="M42" s="7"/>
      <c r="N42" s="7"/>
      <c r="O42" s="7"/>
      <c r="P42" s="16"/>
      <c r="Q42" s="17"/>
      <c r="R42" s="10" t="e">
        <f t="shared" si="1"/>
        <v>#DIV/0!</v>
      </c>
      <c r="S42" s="7" t="e">
        <f t="shared" si="2"/>
        <v>#DIV/0!</v>
      </c>
      <c r="T42" s="11" t="e">
        <f t="shared" si="3"/>
        <v>#DIV/0!</v>
      </c>
      <c r="U42" s="7" t="e">
        <f t="shared" si="4"/>
        <v>#DIV/0!</v>
      </c>
      <c r="V42" s="7"/>
      <c r="W42" s="7"/>
      <c r="X42" s="7"/>
      <c r="Y42" s="7"/>
      <c r="Z42" s="7" t="e">
        <f t="shared" si="5"/>
        <v>#DIV/0!</v>
      </c>
      <c r="AA42" s="7"/>
      <c r="AB42" s="7"/>
      <c r="AC42" s="7"/>
      <c r="AD42" s="7"/>
      <c r="AE42" s="7"/>
      <c r="AF42" s="7" t="s">
        <v>53</v>
      </c>
      <c r="AG42" s="7"/>
      <c r="AH42" s="7"/>
      <c r="AI42" s="7"/>
      <c r="AJ42" s="7"/>
      <c r="AK42" s="7"/>
      <c r="AL42" s="15"/>
      <c r="AM42" s="15"/>
      <c r="AN42" s="15"/>
      <c r="AO42" s="15"/>
      <c r="AP42" s="15"/>
      <c r="AQ42" s="15"/>
      <c r="AR42" s="15"/>
    </row>
    <row r="43" spans="1:44" ht="22.5" customHeight="1">
      <c r="A43" s="4" t="s">
        <v>341</v>
      </c>
      <c r="B43" s="7" t="e">
        <f t="shared" si="0"/>
        <v>#DIV/0!</v>
      </c>
      <c r="C43" s="4" t="s">
        <v>40</v>
      </c>
      <c r="D43" s="4" t="s">
        <v>342</v>
      </c>
      <c r="E43" s="4" t="s">
        <v>343</v>
      </c>
      <c r="F43" s="4" t="s">
        <v>344</v>
      </c>
      <c r="G43" s="8"/>
      <c r="H43" s="8" t="s">
        <v>345</v>
      </c>
      <c r="I43" s="7"/>
      <c r="J43" s="7"/>
      <c r="K43" s="7"/>
      <c r="L43" s="7"/>
      <c r="M43" s="7"/>
      <c r="N43" s="7"/>
      <c r="O43" s="7"/>
      <c r="P43" s="16"/>
      <c r="Q43" s="17"/>
      <c r="R43" s="10" t="e">
        <f t="shared" si="1"/>
        <v>#DIV/0!</v>
      </c>
      <c r="S43" s="7" t="e">
        <f t="shared" si="2"/>
        <v>#DIV/0!</v>
      </c>
      <c r="T43" s="11" t="e">
        <f t="shared" si="3"/>
        <v>#DIV/0!</v>
      </c>
      <c r="U43" s="7" t="e">
        <f t="shared" si="4"/>
        <v>#DIV/0!</v>
      </c>
      <c r="V43" s="7"/>
      <c r="W43" s="7"/>
      <c r="X43" s="7"/>
      <c r="Y43" s="7"/>
      <c r="Z43" s="7" t="e">
        <f t="shared" si="5"/>
        <v>#DIV/0!</v>
      </c>
      <c r="AA43" s="7"/>
      <c r="AB43" s="7"/>
      <c r="AC43" s="7"/>
      <c r="AD43" s="7"/>
      <c r="AE43" s="7"/>
      <c r="AF43" s="7" t="s">
        <v>53</v>
      </c>
      <c r="AG43" s="7"/>
      <c r="AH43" s="7"/>
      <c r="AI43" s="7"/>
      <c r="AJ43" s="7"/>
      <c r="AK43" s="7"/>
      <c r="AL43" s="15"/>
      <c r="AM43" s="15"/>
      <c r="AN43" s="15"/>
      <c r="AO43" s="15"/>
      <c r="AP43" s="15"/>
      <c r="AQ43" s="15"/>
      <c r="AR43" s="15"/>
    </row>
    <row r="44" spans="1:44" ht="22.5" hidden="1" customHeight="1">
      <c r="A44" s="47" t="s">
        <v>365</v>
      </c>
      <c r="B44" s="7" t="e">
        <f t="shared" si="0"/>
        <v>#DIV/0!</v>
      </c>
      <c r="C44" s="48" t="s">
        <v>40</v>
      </c>
      <c r="D44" s="47" t="s">
        <v>366</v>
      </c>
      <c r="E44" s="7" t="s">
        <v>367</v>
      </c>
      <c r="F44" s="47" t="s">
        <v>368</v>
      </c>
      <c r="G44" s="49"/>
      <c r="H44" s="49" t="s">
        <v>369</v>
      </c>
      <c r="I44" s="30"/>
      <c r="J44" s="30"/>
      <c r="K44" s="30"/>
      <c r="L44" s="30"/>
      <c r="M44" s="30"/>
      <c r="N44" s="30"/>
      <c r="O44" s="30">
        <v>1</v>
      </c>
      <c r="P44" s="51"/>
      <c r="Q44" s="30"/>
      <c r="R44" s="10" t="e">
        <f t="shared" si="1"/>
        <v>#DIV/0!</v>
      </c>
      <c r="S44" s="50" t="e">
        <f t="shared" si="2"/>
        <v>#DIV/0!</v>
      </c>
      <c r="T44" s="11">
        <f t="shared" si="3"/>
        <v>-1</v>
      </c>
      <c r="U44" s="7">
        <f t="shared" si="4"/>
        <v>0</v>
      </c>
      <c r="V44" s="7">
        <v>0</v>
      </c>
      <c r="W44" s="7">
        <v>1</v>
      </c>
      <c r="X44" s="7">
        <v>1</v>
      </c>
      <c r="Y44" s="7">
        <v>0</v>
      </c>
      <c r="Z44" s="7" t="e">
        <f t="shared" si="5"/>
        <v>#DIV/0!</v>
      </c>
      <c r="AA44" s="50"/>
      <c r="AB44" s="50"/>
      <c r="AC44" s="30"/>
      <c r="AD44" s="30"/>
      <c r="AE44" s="30"/>
      <c r="AF44" s="30"/>
      <c r="AG44" s="30"/>
      <c r="AH44" s="30"/>
      <c r="AI44" s="7"/>
      <c r="AJ44" s="50"/>
      <c r="AK44" s="7" t="s">
        <v>45</v>
      </c>
      <c r="AL44" s="15"/>
      <c r="AM44" s="15"/>
      <c r="AN44" s="15"/>
      <c r="AO44" s="15"/>
      <c r="AP44" s="15"/>
      <c r="AQ44" s="15"/>
      <c r="AR44" s="15"/>
    </row>
    <row r="45" spans="1:44" ht="22.5" customHeight="1">
      <c r="A45" s="7" t="s">
        <v>370</v>
      </c>
      <c r="B45" s="7" t="e">
        <f t="shared" si="0"/>
        <v>#DIV/0!</v>
      </c>
      <c r="C45" s="7" t="s">
        <v>371</v>
      </c>
      <c r="D45" s="7" t="s">
        <v>372</v>
      </c>
      <c r="E45" s="7" t="s">
        <v>373</v>
      </c>
      <c r="F45" s="7" t="s">
        <v>374</v>
      </c>
      <c r="G45" s="8"/>
      <c r="H45" s="8" t="s">
        <v>375</v>
      </c>
      <c r="I45" s="7"/>
      <c r="J45" s="7"/>
      <c r="K45" s="7"/>
      <c r="L45" s="7"/>
      <c r="M45" s="7"/>
      <c r="N45" s="7"/>
      <c r="O45" s="7">
        <v>1</v>
      </c>
      <c r="P45" s="7"/>
      <c r="Q45" s="7"/>
      <c r="R45" s="10" t="e">
        <f t="shared" si="1"/>
        <v>#DIV/0!</v>
      </c>
      <c r="S45" s="7" t="e">
        <f t="shared" si="2"/>
        <v>#DIV/0!</v>
      </c>
      <c r="T45" s="11">
        <f t="shared" si="3"/>
        <v>-1</v>
      </c>
      <c r="U45" s="7">
        <f t="shared" si="4"/>
        <v>0</v>
      </c>
      <c r="V45" s="7">
        <v>0</v>
      </c>
      <c r="W45" s="7">
        <v>1</v>
      </c>
      <c r="X45" s="7">
        <v>1</v>
      </c>
      <c r="Y45" s="7">
        <v>0</v>
      </c>
      <c r="Z45" s="7" t="e">
        <f t="shared" si="5"/>
        <v>#DIV/0!</v>
      </c>
      <c r="AA45" s="7"/>
      <c r="AB45" s="7" t="s">
        <v>45</v>
      </c>
      <c r="AC45" s="7"/>
      <c r="AD45" s="7"/>
      <c r="AE45" s="7"/>
      <c r="AF45" s="7" t="s">
        <v>376</v>
      </c>
      <c r="AG45" s="7"/>
      <c r="AH45" s="7"/>
      <c r="AI45" s="7"/>
      <c r="AJ45" s="7"/>
      <c r="AK45" s="7" t="s">
        <v>57</v>
      </c>
      <c r="AL45" s="15"/>
      <c r="AM45" s="15"/>
      <c r="AN45" s="15"/>
      <c r="AO45" s="15"/>
      <c r="AP45" s="15"/>
      <c r="AQ45" s="15"/>
      <c r="AR45" s="15"/>
    </row>
    <row r="46" spans="1:44" ht="22.5" customHeight="1">
      <c r="A46" s="7" t="s">
        <v>377</v>
      </c>
      <c r="B46" s="7" t="e">
        <f t="shared" si="0"/>
        <v>#DIV/0!</v>
      </c>
      <c r="C46" s="7" t="s">
        <v>371</v>
      </c>
      <c r="D46" s="7" t="s">
        <v>378</v>
      </c>
      <c r="E46" s="7" t="s">
        <v>379</v>
      </c>
      <c r="F46" s="7" t="s">
        <v>380</v>
      </c>
      <c r="G46" s="7" t="s">
        <v>381</v>
      </c>
      <c r="H46" s="8" t="s">
        <v>382</v>
      </c>
      <c r="I46" s="7"/>
      <c r="J46" s="7"/>
      <c r="K46" s="7"/>
      <c r="L46" s="7"/>
      <c r="M46" s="7"/>
      <c r="N46" s="7"/>
      <c r="O46" s="7">
        <v>1</v>
      </c>
      <c r="P46" s="7"/>
      <c r="Q46" s="7"/>
      <c r="R46" s="10" t="e">
        <f t="shared" si="1"/>
        <v>#DIV/0!</v>
      </c>
      <c r="S46" s="7" t="e">
        <f t="shared" si="2"/>
        <v>#DIV/0!</v>
      </c>
      <c r="T46" s="11">
        <f t="shared" si="3"/>
        <v>-1</v>
      </c>
      <c r="U46" s="7">
        <f t="shared" si="4"/>
        <v>0</v>
      </c>
      <c r="V46" s="7">
        <v>0</v>
      </c>
      <c r="W46" s="7">
        <v>1</v>
      </c>
      <c r="X46" s="7">
        <v>1</v>
      </c>
      <c r="Y46" s="7">
        <v>0</v>
      </c>
      <c r="Z46" s="7" t="e">
        <f t="shared" si="5"/>
        <v>#DIV/0!</v>
      </c>
      <c r="AA46" s="7"/>
      <c r="AB46" s="7" t="s">
        <v>45</v>
      </c>
      <c r="AC46" s="7"/>
      <c r="AD46" s="7"/>
      <c r="AE46" s="7"/>
      <c r="AF46" s="7" t="s">
        <v>376</v>
      </c>
      <c r="AG46" s="7"/>
      <c r="AH46" s="7"/>
      <c r="AI46" s="7"/>
      <c r="AJ46" s="7"/>
      <c r="AK46" s="7" t="s">
        <v>57</v>
      </c>
      <c r="AL46" s="15"/>
      <c r="AM46" s="15"/>
      <c r="AN46" s="15"/>
      <c r="AO46" s="15"/>
      <c r="AP46" s="15"/>
      <c r="AQ46" s="15"/>
      <c r="AR46" s="15"/>
    </row>
    <row r="47" spans="1:44" ht="22.5" customHeight="1">
      <c r="A47" s="7" t="s">
        <v>383</v>
      </c>
      <c r="B47" s="7" t="e">
        <f t="shared" si="0"/>
        <v>#DIV/0!</v>
      </c>
      <c r="C47" s="7" t="s">
        <v>384</v>
      </c>
      <c r="D47" s="7" t="s">
        <v>385</v>
      </c>
      <c r="E47" s="7" t="s">
        <v>386</v>
      </c>
      <c r="F47" s="7" t="s">
        <v>387</v>
      </c>
      <c r="G47" s="8"/>
      <c r="H47" s="8" t="s">
        <v>388</v>
      </c>
      <c r="I47" s="7"/>
      <c r="J47" s="7"/>
      <c r="K47" s="7"/>
      <c r="L47" s="7">
        <v>58</v>
      </c>
      <c r="M47" s="7"/>
      <c r="N47" s="7"/>
      <c r="O47" s="7">
        <v>32</v>
      </c>
      <c r="P47" s="7"/>
      <c r="Q47" s="7"/>
      <c r="R47" s="10" t="e">
        <f t="shared" si="1"/>
        <v>#DIV/0!</v>
      </c>
      <c r="S47" s="7" t="e">
        <f t="shared" si="2"/>
        <v>#DIV/0!</v>
      </c>
      <c r="T47" s="11">
        <f t="shared" si="3"/>
        <v>0.8125</v>
      </c>
      <c r="U47" s="7">
        <f t="shared" si="4"/>
        <v>2</v>
      </c>
      <c r="V47" s="7">
        <v>0</v>
      </c>
      <c r="W47" s="7">
        <v>1</v>
      </c>
      <c r="X47" s="7">
        <v>1</v>
      </c>
      <c r="Y47" s="7">
        <v>0</v>
      </c>
      <c r="Z47" s="7" t="e">
        <f t="shared" si="5"/>
        <v>#DIV/0!</v>
      </c>
      <c r="AA47" s="7"/>
      <c r="AB47" s="7" t="s">
        <v>45</v>
      </c>
      <c r="AC47" s="7"/>
      <c r="AD47" s="7">
        <v>32</v>
      </c>
      <c r="AE47" s="7"/>
      <c r="AF47" s="7" t="s">
        <v>376</v>
      </c>
      <c r="AG47" s="7" t="s">
        <v>389</v>
      </c>
      <c r="AH47" s="7"/>
      <c r="AI47" s="7"/>
      <c r="AJ47" s="7" t="s">
        <v>57</v>
      </c>
      <c r="AK47" s="7" t="s">
        <v>57</v>
      </c>
      <c r="AL47" s="15"/>
      <c r="AM47" s="15"/>
      <c r="AN47" s="15"/>
      <c r="AO47" s="15"/>
      <c r="AP47" s="15"/>
      <c r="AQ47" s="15"/>
      <c r="AR47" s="15"/>
    </row>
    <row r="48" spans="1:44" ht="22.5" customHeight="1">
      <c r="A48" s="7" t="s">
        <v>390</v>
      </c>
      <c r="B48" s="7" t="e">
        <f t="shared" si="0"/>
        <v>#DIV/0!</v>
      </c>
      <c r="C48" s="7" t="s">
        <v>390</v>
      </c>
      <c r="D48" s="7" t="s">
        <v>391</v>
      </c>
      <c r="E48" s="7" t="s">
        <v>392</v>
      </c>
      <c r="F48" s="7" t="s">
        <v>393</v>
      </c>
      <c r="G48" s="8"/>
      <c r="H48" s="8"/>
      <c r="I48" s="7"/>
      <c r="J48" s="7"/>
      <c r="K48" s="7"/>
      <c r="L48" s="7"/>
      <c r="M48" s="7"/>
      <c r="N48" s="7"/>
      <c r="O48" s="7">
        <v>1</v>
      </c>
      <c r="P48" s="7"/>
      <c r="Q48" s="7"/>
      <c r="R48" s="10" t="e">
        <f t="shared" si="1"/>
        <v>#DIV/0!</v>
      </c>
      <c r="S48" s="7" t="e">
        <f t="shared" si="2"/>
        <v>#DIV/0!</v>
      </c>
      <c r="T48" s="11">
        <f t="shared" si="3"/>
        <v>-1</v>
      </c>
      <c r="U48" s="7">
        <f t="shared" si="4"/>
        <v>0</v>
      </c>
      <c r="V48" s="7">
        <v>0</v>
      </c>
      <c r="W48" s="7">
        <v>1</v>
      </c>
      <c r="X48" s="7">
        <v>1</v>
      </c>
      <c r="Y48" s="7">
        <v>0</v>
      </c>
      <c r="Z48" s="7" t="e">
        <f t="shared" si="5"/>
        <v>#DIV/0!</v>
      </c>
      <c r="AA48" s="7"/>
      <c r="AB48" s="7" t="s">
        <v>45</v>
      </c>
      <c r="AC48" s="7"/>
      <c r="AD48" s="7"/>
      <c r="AE48" s="7"/>
      <c r="AF48" s="7"/>
      <c r="AG48" s="7"/>
      <c r="AH48" s="7"/>
      <c r="AI48" s="7"/>
      <c r="AJ48" s="7"/>
      <c r="AK48" s="7" t="s">
        <v>57</v>
      </c>
      <c r="AL48" s="15"/>
      <c r="AM48" s="15"/>
      <c r="AN48" s="15"/>
      <c r="AO48" s="15"/>
      <c r="AP48" s="15"/>
      <c r="AQ48" s="15"/>
      <c r="AR48" s="15"/>
    </row>
    <row r="49" spans="1:44" ht="22.5" customHeight="1">
      <c r="A49" s="7" t="s">
        <v>408</v>
      </c>
      <c r="B49" s="7" t="e">
        <f t="shared" si="0"/>
        <v>#DIV/0!</v>
      </c>
      <c r="C49" s="4" t="s">
        <v>390</v>
      </c>
      <c r="D49" s="7"/>
      <c r="E49" s="24"/>
      <c r="F49" s="7"/>
      <c r="G49" s="8"/>
      <c r="H49" s="8"/>
      <c r="I49" s="7"/>
      <c r="J49" s="7"/>
      <c r="K49" s="7"/>
      <c r="L49" s="7"/>
      <c r="M49" s="7"/>
      <c r="N49" s="7"/>
      <c r="O49" s="7">
        <v>68</v>
      </c>
      <c r="P49" s="56"/>
      <c r="Q49" s="7"/>
      <c r="R49" s="10" t="e">
        <f t="shared" si="1"/>
        <v>#DIV/0!</v>
      </c>
      <c r="S49" s="7" t="e">
        <f t="shared" si="2"/>
        <v>#DIV/0!</v>
      </c>
      <c r="T49" s="11">
        <f t="shared" si="3"/>
        <v>-1</v>
      </c>
      <c r="U49" s="7">
        <f t="shared" si="4"/>
        <v>0</v>
      </c>
      <c r="V49" s="7">
        <v>0</v>
      </c>
      <c r="W49" s="7">
        <v>1</v>
      </c>
      <c r="X49" s="7">
        <v>1</v>
      </c>
      <c r="Y49" s="7">
        <v>0</v>
      </c>
      <c r="Z49" s="7" t="e">
        <f t="shared" si="5"/>
        <v>#DIV/0!</v>
      </c>
      <c r="AA49" s="7"/>
      <c r="AB49" s="7"/>
      <c r="AC49" s="7"/>
      <c r="AD49" s="7">
        <v>68</v>
      </c>
      <c r="AE49" s="7"/>
      <c r="AF49" s="7"/>
      <c r="AG49" s="7"/>
      <c r="AH49" s="7"/>
      <c r="AI49" s="7"/>
      <c r="AJ49" s="7" t="s">
        <v>57</v>
      </c>
      <c r="AK49" s="7"/>
      <c r="AL49" s="15"/>
      <c r="AM49" s="15"/>
      <c r="AN49" s="15"/>
      <c r="AO49" s="15"/>
      <c r="AP49" s="15"/>
      <c r="AQ49" s="15"/>
      <c r="AR49" s="15"/>
    </row>
    <row r="50" spans="1:44" ht="22.5" customHeight="1">
      <c r="A50" s="7" t="s">
        <v>432</v>
      </c>
      <c r="B50" s="7" t="e">
        <f t="shared" si="0"/>
        <v>#DIV/0!</v>
      </c>
      <c r="C50" s="7" t="s">
        <v>433</v>
      </c>
      <c r="D50" s="7" t="s">
        <v>434</v>
      </c>
      <c r="E50" s="7" t="s">
        <v>435</v>
      </c>
      <c r="F50" s="7" t="s">
        <v>436</v>
      </c>
      <c r="G50" s="7" t="s">
        <v>437</v>
      </c>
      <c r="H50" s="8" t="s">
        <v>438</v>
      </c>
      <c r="I50" s="7"/>
      <c r="J50" s="7"/>
      <c r="K50" s="7"/>
      <c r="L50" s="7">
        <v>50</v>
      </c>
      <c r="M50" s="7"/>
      <c r="N50" s="7"/>
      <c r="O50" s="7">
        <v>64</v>
      </c>
      <c r="P50" s="22" t="s">
        <v>439</v>
      </c>
      <c r="Q50" s="7"/>
      <c r="R50" s="10" t="e">
        <f t="shared" si="1"/>
        <v>#DIV/0!</v>
      </c>
      <c r="S50" s="7" t="e">
        <f t="shared" si="2"/>
        <v>#DIV/0!</v>
      </c>
      <c r="T50" s="11">
        <f t="shared" si="3"/>
        <v>-0.21875</v>
      </c>
      <c r="U50" s="7">
        <f t="shared" si="4"/>
        <v>0</v>
      </c>
      <c r="V50" s="7">
        <v>0</v>
      </c>
      <c r="W50" s="7">
        <v>1</v>
      </c>
      <c r="X50" s="7">
        <v>1</v>
      </c>
      <c r="Y50" s="7">
        <v>0</v>
      </c>
      <c r="Z50" s="7" t="e">
        <f t="shared" si="5"/>
        <v>#DIV/0!</v>
      </c>
      <c r="AA50" s="7"/>
      <c r="AB50" s="7" t="s">
        <v>45</v>
      </c>
      <c r="AC50" s="7"/>
      <c r="AD50" s="7">
        <v>64</v>
      </c>
      <c r="AE50" s="7"/>
      <c r="AF50" s="7" t="s">
        <v>376</v>
      </c>
      <c r="AG50" s="7"/>
      <c r="AH50" s="7"/>
      <c r="AI50" s="7"/>
      <c r="AJ50" s="7"/>
      <c r="AK50" s="7" t="s">
        <v>57</v>
      </c>
      <c r="AL50" s="15"/>
      <c r="AM50" s="15"/>
      <c r="AN50" s="15"/>
      <c r="AO50" s="15"/>
      <c r="AP50" s="15"/>
      <c r="AQ50" s="15"/>
      <c r="AR50" s="15"/>
    </row>
    <row r="51" spans="1:44" ht="22.5" customHeight="1">
      <c r="A51" s="7" t="s">
        <v>440</v>
      </c>
      <c r="B51" s="7" t="e">
        <f t="shared" si="0"/>
        <v>#DIV/0!</v>
      </c>
      <c r="C51" s="7" t="s">
        <v>433</v>
      </c>
      <c r="D51" s="7" t="s">
        <v>441</v>
      </c>
      <c r="E51" s="7" t="s">
        <v>442</v>
      </c>
      <c r="F51" s="7" t="s">
        <v>443</v>
      </c>
      <c r="G51" s="7" t="s">
        <v>444</v>
      </c>
      <c r="H51" s="8" t="s">
        <v>445</v>
      </c>
      <c r="I51" s="7"/>
      <c r="J51" s="7"/>
      <c r="K51" s="7"/>
      <c r="L51" s="7">
        <v>43</v>
      </c>
      <c r="M51" s="7"/>
      <c r="N51" s="7"/>
      <c r="O51" s="7">
        <v>40</v>
      </c>
      <c r="P51" s="22" t="s">
        <v>446</v>
      </c>
      <c r="Q51" s="7"/>
      <c r="R51" s="10" t="e">
        <f t="shared" si="1"/>
        <v>#DIV/0!</v>
      </c>
      <c r="S51" s="7" t="e">
        <f t="shared" si="2"/>
        <v>#DIV/0!</v>
      </c>
      <c r="T51" s="11">
        <f t="shared" ref="T51:T56" si="6">(L51-O51)/O51*100</f>
        <v>7.5</v>
      </c>
      <c r="U51" s="7">
        <f t="shared" si="4"/>
        <v>2</v>
      </c>
      <c r="V51" s="7">
        <v>0</v>
      </c>
      <c r="W51" s="7">
        <v>1</v>
      </c>
      <c r="X51" s="7">
        <v>1</v>
      </c>
      <c r="Y51" s="7">
        <v>0</v>
      </c>
      <c r="Z51" s="7" t="e">
        <f t="shared" si="5"/>
        <v>#DIV/0!</v>
      </c>
      <c r="AA51" s="7"/>
      <c r="AB51" s="7" t="s">
        <v>45</v>
      </c>
      <c r="AC51" s="7"/>
      <c r="AD51" s="7">
        <v>40</v>
      </c>
      <c r="AE51" s="7"/>
      <c r="AF51" s="7"/>
      <c r="AG51" s="7" t="s">
        <v>447</v>
      </c>
      <c r="AH51" s="7"/>
      <c r="AI51" s="7"/>
      <c r="AJ51" s="7"/>
      <c r="AK51" s="7" t="s">
        <v>57</v>
      </c>
      <c r="AL51" s="15"/>
      <c r="AM51" s="15"/>
      <c r="AN51" s="15"/>
      <c r="AO51" s="15"/>
      <c r="AP51" s="15"/>
      <c r="AQ51" s="15"/>
      <c r="AR51" s="15"/>
    </row>
    <row r="52" spans="1:44" ht="22.5" customHeight="1">
      <c r="A52" s="7" t="s">
        <v>448</v>
      </c>
      <c r="B52" s="7" t="e">
        <f t="shared" si="0"/>
        <v>#DIV/0!</v>
      </c>
      <c r="C52" s="7" t="s">
        <v>433</v>
      </c>
      <c r="D52" s="7" t="s">
        <v>449</v>
      </c>
      <c r="E52" s="7" t="s">
        <v>450</v>
      </c>
      <c r="F52" s="7" t="s">
        <v>451</v>
      </c>
      <c r="G52" s="7" t="s">
        <v>452</v>
      </c>
      <c r="H52" s="8" t="s">
        <v>453</v>
      </c>
      <c r="I52" s="7"/>
      <c r="J52" s="7"/>
      <c r="K52" s="7"/>
      <c r="L52" s="7">
        <v>31</v>
      </c>
      <c r="M52" s="7"/>
      <c r="N52" s="7"/>
      <c r="O52" s="7">
        <v>36</v>
      </c>
      <c r="P52" s="22" t="s">
        <v>454</v>
      </c>
      <c r="Q52" s="7"/>
      <c r="R52" s="10" t="e">
        <f t="shared" si="1"/>
        <v>#DIV/0!</v>
      </c>
      <c r="S52" s="7" t="e">
        <f t="shared" si="2"/>
        <v>#DIV/0!</v>
      </c>
      <c r="T52" s="11">
        <f t="shared" si="6"/>
        <v>-13.888888888888889</v>
      </c>
      <c r="U52" s="7">
        <f t="shared" si="4"/>
        <v>0</v>
      </c>
      <c r="V52" s="7">
        <v>0</v>
      </c>
      <c r="W52" s="7">
        <v>1</v>
      </c>
      <c r="X52" s="7">
        <v>1</v>
      </c>
      <c r="Y52" s="7">
        <v>0</v>
      </c>
      <c r="Z52" s="7" t="e">
        <f t="shared" si="5"/>
        <v>#DIV/0!</v>
      </c>
      <c r="AA52" s="7"/>
      <c r="AB52" s="7" t="s">
        <v>45</v>
      </c>
      <c r="AC52" s="7"/>
      <c r="AD52" s="7">
        <v>36</v>
      </c>
      <c r="AE52" s="7"/>
      <c r="AF52" s="7" t="s">
        <v>376</v>
      </c>
      <c r="AG52" s="7"/>
      <c r="AH52" s="7"/>
      <c r="AI52" s="7"/>
      <c r="AJ52" s="7"/>
      <c r="AK52" s="7" t="s">
        <v>57</v>
      </c>
      <c r="AL52" s="15"/>
      <c r="AM52" s="15"/>
      <c r="AN52" s="15"/>
      <c r="AO52" s="15"/>
      <c r="AP52" s="15"/>
      <c r="AQ52" s="15"/>
      <c r="AR52" s="15"/>
    </row>
    <row r="53" spans="1:44" ht="22.5" customHeight="1">
      <c r="A53" s="7" t="s">
        <v>455</v>
      </c>
      <c r="B53" s="7" t="e">
        <f t="shared" si="0"/>
        <v>#DIV/0!</v>
      </c>
      <c r="C53" s="7" t="s">
        <v>433</v>
      </c>
      <c r="D53" s="7" t="s">
        <v>456</v>
      </c>
      <c r="E53" s="7" t="s">
        <v>457</v>
      </c>
      <c r="F53" s="7" t="s">
        <v>458</v>
      </c>
      <c r="G53" s="7" t="s">
        <v>459</v>
      </c>
      <c r="H53" s="8" t="s">
        <v>460</v>
      </c>
      <c r="I53" s="7"/>
      <c r="J53" s="7"/>
      <c r="K53" s="7"/>
      <c r="L53" s="7">
        <v>35</v>
      </c>
      <c r="M53" s="7"/>
      <c r="N53" s="7"/>
      <c r="O53" s="7">
        <v>56</v>
      </c>
      <c r="P53" s="22" t="s">
        <v>461</v>
      </c>
      <c r="Q53" s="7"/>
      <c r="R53" s="10" t="e">
        <f t="shared" si="1"/>
        <v>#DIV/0!</v>
      </c>
      <c r="S53" s="7" t="e">
        <f t="shared" si="2"/>
        <v>#DIV/0!</v>
      </c>
      <c r="T53" s="11">
        <f t="shared" si="6"/>
        <v>-37.5</v>
      </c>
      <c r="U53" s="7">
        <f t="shared" si="4"/>
        <v>0</v>
      </c>
      <c r="V53" s="7">
        <v>0</v>
      </c>
      <c r="W53" s="7">
        <v>1</v>
      </c>
      <c r="X53" s="7">
        <v>1</v>
      </c>
      <c r="Y53" s="7">
        <v>0</v>
      </c>
      <c r="Z53" s="7" t="e">
        <f t="shared" si="5"/>
        <v>#DIV/0!</v>
      </c>
      <c r="AA53" s="7"/>
      <c r="AB53" s="7" t="s">
        <v>45</v>
      </c>
      <c r="AC53" s="7"/>
      <c r="AD53" s="7">
        <v>56</v>
      </c>
      <c r="AE53" s="7"/>
      <c r="AF53" s="7" t="s">
        <v>376</v>
      </c>
      <c r="AG53" s="7" t="s">
        <v>447</v>
      </c>
      <c r="AH53" s="7"/>
      <c r="AI53" s="7"/>
      <c r="AJ53" s="7"/>
      <c r="AK53" s="7" t="s">
        <v>57</v>
      </c>
      <c r="AL53" s="15"/>
      <c r="AM53" s="15"/>
      <c r="AN53" s="15"/>
      <c r="AO53" s="15"/>
      <c r="AP53" s="15"/>
      <c r="AQ53" s="15"/>
      <c r="AR53" s="15"/>
    </row>
    <row r="54" spans="1:44" ht="22.5" customHeight="1">
      <c r="A54" s="7" t="s">
        <v>462</v>
      </c>
      <c r="B54" s="7" t="e">
        <f t="shared" si="0"/>
        <v>#DIV/0!</v>
      </c>
      <c r="C54" s="7" t="s">
        <v>433</v>
      </c>
      <c r="D54" s="7" t="s">
        <v>463</v>
      </c>
      <c r="E54" s="7" t="s">
        <v>464</v>
      </c>
      <c r="F54" s="7" t="s">
        <v>465</v>
      </c>
      <c r="G54" s="7" t="s">
        <v>466</v>
      </c>
      <c r="H54" s="8" t="s">
        <v>467</v>
      </c>
      <c r="I54" s="7"/>
      <c r="J54" s="7"/>
      <c r="K54" s="7"/>
      <c r="L54" s="7">
        <v>55</v>
      </c>
      <c r="M54" s="34"/>
      <c r="N54" s="7"/>
      <c r="O54" s="7">
        <v>72</v>
      </c>
      <c r="P54" s="27" t="s">
        <v>468</v>
      </c>
      <c r="Q54" s="7"/>
      <c r="R54" s="10" t="e">
        <f t="shared" si="1"/>
        <v>#DIV/0!</v>
      </c>
      <c r="S54" s="7" t="e">
        <f t="shared" si="2"/>
        <v>#DIV/0!</v>
      </c>
      <c r="T54" s="11">
        <f t="shared" si="6"/>
        <v>-23.611111111111111</v>
      </c>
      <c r="U54" s="7">
        <f t="shared" si="4"/>
        <v>0</v>
      </c>
      <c r="V54" s="7">
        <v>0</v>
      </c>
      <c r="W54" s="7">
        <v>1</v>
      </c>
      <c r="X54" s="7">
        <v>1</v>
      </c>
      <c r="Y54" s="7">
        <v>0</v>
      </c>
      <c r="Z54" s="7" t="e">
        <f t="shared" si="5"/>
        <v>#DIV/0!</v>
      </c>
      <c r="AA54" s="7"/>
      <c r="AB54" s="7" t="s">
        <v>45</v>
      </c>
      <c r="AC54" s="7"/>
      <c r="AD54" s="7">
        <v>72</v>
      </c>
      <c r="AE54" s="7"/>
      <c r="AF54" s="7" t="s">
        <v>376</v>
      </c>
      <c r="AG54" s="7"/>
      <c r="AH54" s="7"/>
      <c r="AI54" s="7"/>
      <c r="AJ54" s="7"/>
      <c r="AK54" s="7" t="s">
        <v>57</v>
      </c>
      <c r="AL54" s="15"/>
      <c r="AM54" s="15"/>
      <c r="AN54" s="15"/>
      <c r="AO54" s="15"/>
      <c r="AP54" s="15"/>
      <c r="AQ54" s="15"/>
      <c r="AR54" s="15"/>
    </row>
    <row r="55" spans="1:44" ht="22.5" customHeight="1">
      <c r="A55" s="7" t="s">
        <v>469</v>
      </c>
      <c r="B55" s="7" t="e">
        <f t="shared" si="0"/>
        <v>#DIV/0!</v>
      </c>
      <c r="C55" s="4" t="s">
        <v>470</v>
      </c>
      <c r="D55" s="4" t="s">
        <v>545</v>
      </c>
      <c r="E55" s="7" t="s">
        <v>472</v>
      </c>
      <c r="F55" s="7" t="s">
        <v>473</v>
      </c>
      <c r="G55" s="8" t="s">
        <v>474</v>
      </c>
      <c r="H55" s="8" t="s">
        <v>475</v>
      </c>
      <c r="I55" s="7"/>
      <c r="J55" s="7"/>
      <c r="K55" s="7"/>
      <c r="L55" s="7">
        <v>120</v>
      </c>
      <c r="M55" s="34"/>
      <c r="N55" s="7"/>
      <c r="O55" s="7">
        <v>128</v>
      </c>
      <c r="P55" s="19" t="s">
        <v>476</v>
      </c>
      <c r="Q55" s="7"/>
      <c r="R55" s="10" t="e">
        <f t="shared" si="1"/>
        <v>#DIV/0!</v>
      </c>
      <c r="S55" s="7" t="e">
        <f t="shared" si="2"/>
        <v>#DIV/0!</v>
      </c>
      <c r="T55" s="11">
        <f t="shared" si="6"/>
        <v>-6.25</v>
      </c>
      <c r="U55" s="7">
        <f t="shared" si="4"/>
        <v>0</v>
      </c>
      <c r="V55" s="7">
        <v>0</v>
      </c>
      <c r="W55" s="7">
        <v>1</v>
      </c>
      <c r="X55" s="7">
        <v>1</v>
      </c>
      <c r="Y55" s="7">
        <v>0</v>
      </c>
      <c r="Z55" s="7" t="e">
        <f t="shared" si="5"/>
        <v>#DIV/0!</v>
      </c>
      <c r="AA55" s="7"/>
      <c r="AB55" s="7" t="s">
        <v>45</v>
      </c>
      <c r="AC55" s="7"/>
      <c r="AD55" s="7">
        <v>128</v>
      </c>
      <c r="AE55" s="7"/>
      <c r="AF55" s="7" t="s">
        <v>376</v>
      </c>
      <c r="AG55" s="59" t="s">
        <v>477</v>
      </c>
      <c r="AH55" s="7"/>
      <c r="AI55" s="7"/>
      <c r="AJ55" s="7"/>
      <c r="AK55" s="7" t="s">
        <v>57</v>
      </c>
      <c r="AL55" s="15"/>
      <c r="AM55" s="15"/>
      <c r="AN55" s="15"/>
      <c r="AO55" s="15"/>
      <c r="AP55" s="15"/>
      <c r="AQ55" s="15"/>
      <c r="AR55" s="15"/>
    </row>
    <row r="56" spans="1:44" ht="22.5" customHeight="1">
      <c r="A56" s="55" t="s">
        <v>478</v>
      </c>
      <c r="B56" s="7" t="e">
        <f t="shared" si="0"/>
        <v>#DIV/0!</v>
      </c>
      <c r="C56" s="60" t="s">
        <v>470</v>
      </c>
      <c r="D56" s="55" t="s">
        <v>479</v>
      </c>
      <c r="E56" s="61" t="s">
        <v>480</v>
      </c>
      <c r="F56" s="55" t="s">
        <v>481</v>
      </c>
      <c r="G56" s="8"/>
      <c r="H56" s="8" t="s">
        <v>483</v>
      </c>
      <c r="I56" s="7"/>
      <c r="J56" s="7"/>
      <c r="K56" s="7"/>
      <c r="L56" s="7">
        <v>29</v>
      </c>
      <c r="M56" s="34"/>
      <c r="N56" s="7">
        <v>25</v>
      </c>
      <c r="O56" s="7">
        <v>40</v>
      </c>
      <c r="P56" s="19" t="s">
        <v>484</v>
      </c>
      <c r="Q56" s="7"/>
      <c r="R56" s="10" t="e">
        <f t="shared" si="1"/>
        <v>#DIV/0!</v>
      </c>
      <c r="S56" s="7" t="e">
        <f t="shared" si="2"/>
        <v>#DIV/0!</v>
      </c>
      <c r="T56" s="11">
        <f t="shared" si="6"/>
        <v>-27.500000000000004</v>
      </c>
      <c r="U56" s="7">
        <f t="shared" si="4"/>
        <v>0</v>
      </c>
      <c r="V56" s="7">
        <v>0</v>
      </c>
      <c r="W56" s="7">
        <v>1</v>
      </c>
      <c r="X56" s="7">
        <v>1</v>
      </c>
      <c r="Y56" s="7">
        <v>0</v>
      </c>
      <c r="Z56" s="7" t="e">
        <f t="shared" si="5"/>
        <v>#DIV/0!</v>
      </c>
      <c r="AA56" s="7"/>
      <c r="AB56" s="7" t="s">
        <v>45</v>
      </c>
      <c r="AC56" s="7"/>
      <c r="AD56" s="7">
        <v>40</v>
      </c>
      <c r="AE56" s="7"/>
      <c r="AF56" s="7" t="s">
        <v>53</v>
      </c>
      <c r="AG56" s="7"/>
      <c r="AH56" s="7"/>
      <c r="AI56" s="7"/>
      <c r="AJ56" s="7" t="s">
        <v>57</v>
      </c>
      <c r="AK56" s="7" t="s">
        <v>57</v>
      </c>
      <c r="AL56" s="15"/>
      <c r="AM56" s="15"/>
      <c r="AN56" s="15"/>
      <c r="AO56" s="15"/>
      <c r="AP56" s="15"/>
      <c r="AQ56" s="15"/>
      <c r="AR56" s="15"/>
    </row>
    <row r="57" spans="1:44" ht="22.5" customHeight="1">
      <c r="A57" s="7" t="s">
        <v>485</v>
      </c>
      <c r="B57" s="7" t="e">
        <f t="shared" si="0"/>
        <v>#DIV/0!</v>
      </c>
      <c r="C57" s="4" t="s">
        <v>470</v>
      </c>
      <c r="D57" s="4" t="s">
        <v>546</v>
      </c>
      <c r="E57" s="7" t="s">
        <v>472</v>
      </c>
      <c r="F57" s="7" t="s">
        <v>473</v>
      </c>
      <c r="G57" s="8" t="s">
        <v>474</v>
      </c>
      <c r="H57" s="8" t="s">
        <v>486</v>
      </c>
      <c r="I57" s="7"/>
      <c r="J57" s="7"/>
      <c r="K57" s="7"/>
      <c r="L57" s="7">
        <v>28</v>
      </c>
      <c r="M57" s="34"/>
      <c r="N57" s="7"/>
      <c r="O57" s="7">
        <v>8</v>
      </c>
      <c r="P57" s="27" t="s">
        <v>487</v>
      </c>
      <c r="Q57" s="7"/>
      <c r="R57" s="10" t="e">
        <f t="shared" si="1"/>
        <v>#DIV/0!</v>
      </c>
      <c r="S57" s="7" t="e">
        <f t="shared" si="2"/>
        <v>#DIV/0!</v>
      </c>
      <c r="T57" s="11">
        <f t="shared" ref="T57:T63" si="7">L57/O57</f>
        <v>3.5</v>
      </c>
      <c r="U57" s="7">
        <f t="shared" si="4"/>
        <v>2</v>
      </c>
      <c r="V57" s="7">
        <v>0</v>
      </c>
      <c r="W57" s="7">
        <v>1</v>
      </c>
      <c r="X57" s="7">
        <v>1</v>
      </c>
      <c r="Y57" s="7">
        <v>0</v>
      </c>
      <c r="Z57" s="7" t="e">
        <f t="shared" si="5"/>
        <v>#DIV/0!</v>
      </c>
      <c r="AA57" s="7"/>
      <c r="AB57" s="7" t="s">
        <v>45</v>
      </c>
      <c r="AC57" s="7"/>
      <c r="AD57" s="7">
        <v>8</v>
      </c>
      <c r="AE57" s="7"/>
      <c r="AF57" s="7" t="s">
        <v>376</v>
      </c>
      <c r="AG57" s="59" t="s">
        <v>477</v>
      </c>
      <c r="AH57" s="7"/>
      <c r="AI57" s="7"/>
      <c r="AJ57" s="7"/>
      <c r="AK57" s="7" t="s">
        <v>57</v>
      </c>
      <c r="AL57" s="15"/>
      <c r="AM57" s="15"/>
      <c r="AN57" s="15"/>
      <c r="AO57" s="15"/>
      <c r="AP57" s="15"/>
      <c r="AQ57" s="15"/>
      <c r="AR57" s="15"/>
    </row>
    <row r="58" spans="1:44" ht="22.5" customHeight="1">
      <c r="A58" s="47" t="s">
        <v>488</v>
      </c>
      <c r="B58" s="50" t="e">
        <f t="shared" si="0"/>
        <v>#DIV/0!</v>
      </c>
      <c r="C58" s="48" t="s">
        <v>470</v>
      </c>
      <c r="D58" s="7" t="s">
        <v>547</v>
      </c>
      <c r="E58" s="48"/>
      <c r="F58" s="50"/>
      <c r="G58" s="48" t="s">
        <v>548</v>
      </c>
      <c r="H58" s="49" t="s">
        <v>493</v>
      </c>
      <c r="I58" s="7"/>
      <c r="J58" s="30"/>
      <c r="K58" s="30"/>
      <c r="L58" s="7">
        <v>64</v>
      </c>
      <c r="M58" s="65"/>
      <c r="N58" s="30"/>
      <c r="O58" s="7">
        <v>64</v>
      </c>
      <c r="P58" s="65"/>
      <c r="Q58" s="30"/>
      <c r="R58" s="10" t="e">
        <f t="shared" si="1"/>
        <v>#DIV/0!</v>
      </c>
      <c r="S58" s="50" t="e">
        <f t="shared" si="2"/>
        <v>#DIV/0!</v>
      </c>
      <c r="T58" s="83">
        <f t="shared" si="7"/>
        <v>1</v>
      </c>
      <c r="U58" s="50">
        <f t="shared" si="4"/>
        <v>2</v>
      </c>
      <c r="V58" s="7">
        <v>0</v>
      </c>
      <c r="W58" s="7">
        <v>1</v>
      </c>
      <c r="X58" s="7">
        <v>1</v>
      </c>
      <c r="Y58" s="7">
        <v>0</v>
      </c>
      <c r="Z58" s="7" t="e">
        <f t="shared" si="5"/>
        <v>#DIV/0!</v>
      </c>
      <c r="AA58" s="50"/>
      <c r="AB58" s="7" t="s">
        <v>45</v>
      </c>
      <c r="AC58" s="30"/>
      <c r="AD58" s="7">
        <v>64</v>
      </c>
      <c r="AE58" s="30"/>
      <c r="AF58" s="30"/>
      <c r="AG58" s="30"/>
      <c r="AH58" s="30"/>
      <c r="AI58" s="7"/>
      <c r="AJ58" s="7"/>
      <c r="AK58" s="50" t="s">
        <v>57</v>
      </c>
      <c r="AL58" s="15"/>
      <c r="AM58" s="15"/>
      <c r="AN58" s="15"/>
      <c r="AO58" s="15"/>
      <c r="AP58" s="15"/>
      <c r="AQ58" s="15"/>
      <c r="AR58" s="15"/>
    </row>
    <row r="59" spans="1:44" ht="22.5" customHeight="1">
      <c r="A59" s="7" t="s">
        <v>520</v>
      </c>
      <c r="B59" s="7" t="e">
        <f t="shared" si="0"/>
        <v>#DIV/0!</v>
      </c>
      <c r="C59" s="4" t="s">
        <v>470</v>
      </c>
      <c r="D59" s="4" t="s">
        <v>546</v>
      </c>
      <c r="E59" s="7" t="s">
        <v>472</v>
      </c>
      <c r="F59" s="7" t="s">
        <v>473</v>
      </c>
      <c r="G59" s="8" t="s">
        <v>474</v>
      </c>
      <c r="H59" s="8" t="s">
        <v>521</v>
      </c>
      <c r="I59" s="7"/>
      <c r="J59" s="7"/>
      <c r="K59" s="7"/>
      <c r="L59" s="7"/>
      <c r="M59" s="34"/>
      <c r="N59" s="7"/>
      <c r="O59" s="7">
        <v>12</v>
      </c>
      <c r="P59" s="34" t="s">
        <v>522</v>
      </c>
      <c r="Q59" s="7"/>
      <c r="R59" s="10" t="e">
        <f t="shared" si="1"/>
        <v>#DIV/0!</v>
      </c>
      <c r="S59" s="7" t="e">
        <f t="shared" si="2"/>
        <v>#DIV/0!</v>
      </c>
      <c r="T59" s="11">
        <f t="shared" si="7"/>
        <v>0</v>
      </c>
      <c r="U59" s="7">
        <f t="shared" si="4"/>
        <v>1</v>
      </c>
      <c r="V59" s="7">
        <v>0</v>
      </c>
      <c r="W59" s="7">
        <v>1</v>
      </c>
      <c r="X59" s="7">
        <v>1</v>
      </c>
      <c r="Y59" s="7">
        <v>0</v>
      </c>
      <c r="Z59" s="7" t="e">
        <f t="shared" si="5"/>
        <v>#DIV/0!</v>
      </c>
      <c r="AA59" s="7"/>
      <c r="AB59" s="7" t="s">
        <v>45</v>
      </c>
      <c r="AC59" s="7"/>
      <c r="AD59" s="7">
        <v>12</v>
      </c>
      <c r="AE59" s="7"/>
      <c r="AF59" s="7" t="s">
        <v>376</v>
      </c>
      <c r="AG59" s="59" t="s">
        <v>477</v>
      </c>
      <c r="AH59" s="7"/>
      <c r="AI59" s="7"/>
      <c r="AJ59" s="7"/>
      <c r="AK59" s="7" t="s">
        <v>57</v>
      </c>
    </row>
    <row r="60" spans="1:44" ht="22.5" customHeight="1">
      <c r="A60" s="7" t="s">
        <v>494</v>
      </c>
      <c r="B60" s="7" t="e">
        <f t="shared" si="0"/>
        <v>#DIV/0!</v>
      </c>
      <c r="C60" s="4" t="s">
        <v>470</v>
      </c>
      <c r="D60" s="4" t="s">
        <v>546</v>
      </c>
      <c r="E60" s="7" t="s">
        <v>472</v>
      </c>
      <c r="F60" s="7" t="s">
        <v>473</v>
      </c>
      <c r="G60" s="8" t="s">
        <v>474</v>
      </c>
      <c r="H60" s="8" t="s">
        <v>495</v>
      </c>
      <c r="I60" s="7"/>
      <c r="J60" s="7"/>
      <c r="K60" s="7"/>
      <c r="L60" s="7">
        <v>20</v>
      </c>
      <c r="M60" s="67"/>
      <c r="N60" s="67"/>
      <c r="O60" s="7">
        <v>36</v>
      </c>
      <c r="P60" s="70" t="s">
        <v>496</v>
      </c>
      <c r="Q60" s="7"/>
      <c r="R60" s="10" t="e">
        <f t="shared" si="1"/>
        <v>#DIV/0!</v>
      </c>
      <c r="S60" s="7" t="e">
        <f t="shared" si="2"/>
        <v>#DIV/0!</v>
      </c>
      <c r="T60" s="11">
        <f t="shared" si="7"/>
        <v>0.55555555555555558</v>
      </c>
      <c r="U60" s="7">
        <f t="shared" si="4"/>
        <v>2</v>
      </c>
      <c r="V60" s="7">
        <v>0</v>
      </c>
      <c r="W60" s="7">
        <v>1</v>
      </c>
      <c r="X60" s="7">
        <v>1</v>
      </c>
      <c r="Y60" s="7">
        <v>0</v>
      </c>
      <c r="Z60" s="7" t="e">
        <f t="shared" si="5"/>
        <v>#DIV/0!</v>
      </c>
      <c r="AA60" s="7"/>
      <c r="AB60" s="7" t="s">
        <v>45</v>
      </c>
      <c r="AC60" s="7"/>
      <c r="AD60" s="7">
        <v>36</v>
      </c>
      <c r="AE60" s="7"/>
      <c r="AF60" s="7" t="s">
        <v>376</v>
      </c>
      <c r="AG60" s="59" t="s">
        <v>477</v>
      </c>
      <c r="AH60" s="7"/>
      <c r="AI60" s="7"/>
      <c r="AJ60" s="7"/>
      <c r="AK60" s="7" t="s">
        <v>57</v>
      </c>
      <c r="AL60" s="15"/>
      <c r="AM60" s="15"/>
      <c r="AN60" s="15"/>
      <c r="AO60" s="15"/>
      <c r="AP60" s="15"/>
      <c r="AQ60" s="15"/>
      <c r="AR60" s="15"/>
    </row>
    <row r="61" spans="1:44" ht="22.5" customHeight="1">
      <c r="A61" s="7" t="s">
        <v>497</v>
      </c>
      <c r="B61" s="7" t="e">
        <f t="shared" si="0"/>
        <v>#DIV/0!</v>
      </c>
      <c r="C61" s="4" t="s">
        <v>470</v>
      </c>
      <c r="D61" s="7" t="s">
        <v>498</v>
      </c>
      <c r="E61" s="56" t="s">
        <v>499</v>
      </c>
      <c r="F61" s="7" t="s">
        <v>500</v>
      </c>
      <c r="G61" s="7" t="s">
        <v>501</v>
      </c>
      <c r="H61" s="5" t="s">
        <v>502</v>
      </c>
      <c r="I61" s="7"/>
      <c r="J61" s="7"/>
      <c r="K61" s="7"/>
      <c r="L61" s="7">
        <v>50</v>
      </c>
      <c r="M61" s="67"/>
      <c r="N61" s="67"/>
      <c r="O61" s="7">
        <v>64</v>
      </c>
      <c r="P61" s="70" t="s">
        <v>503</v>
      </c>
      <c r="Q61" s="7"/>
      <c r="R61" s="10" t="e">
        <f t="shared" si="1"/>
        <v>#DIV/0!</v>
      </c>
      <c r="S61" s="7" t="e">
        <f t="shared" si="2"/>
        <v>#DIV/0!</v>
      </c>
      <c r="T61" s="11">
        <f t="shared" si="7"/>
        <v>0.78125</v>
      </c>
      <c r="U61" s="7">
        <f t="shared" si="4"/>
        <v>2</v>
      </c>
      <c r="V61" s="7">
        <v>0</v>
      </c>
      <c r="W61" s="7">
        <v>1</v>
      </c>
      <c r="X61" s="7">
        <v>1</v>
      </c>
      <c r="Y61" s="7">
        <v>0</v>
      </c>
      <c r="Z61" s="7" t="e">
        <f t="shared" si="5"/>
        <v>#DIV/0!</v>
      </c>
      <c r="AA61" s="7"/>
      <c r="AB61" s="7" t="s">
        <v>45</v>
      </c>
      <c r="AC61" s="7"/>
      <c r="AD61" s="7">
        <v>64</v>
      </c>
      <c r="AE61" s="7"/>
      <c r="AF61" s="7"/>
      <c r="AG61" s="7"/>
      <c r="AH61" s="7"/>
      <c r="AI61" s="7"/>
      <c r="AJ61" s="7" t="s">
        <v>57</v>
      </c>
      <c r="AK61" s="7" t="s">
        <v>57</v>
      </c>
      <c r="AL61" s="15"/>
      <c r="AM61" s="15"/>
      <c r="AN61" s="15"/>
      <c r="AO61" s="15"/>
      <c r="AP61" s="15"/>
      <c r="AQ61" s="15"/>
      <c r="AR61" s="15"/>
    </row>
    <row r="62" spans="1:44" ht="22.5" customHeight="1">
      <c r="A62" s="56" t="s">
        <v>504</v>
      </c>
      <c r="B62" s="7" t="e">
        <f t="shared" si="0"/>
        <v>#DIV/0!</v>
      </c>
      <c r="C62" s="4" t="s">
        <v>470</v>
      </c>
      <c r="D62" s="7" t="s">
        <v>498</v>
      </c>
      <c r="E62" s="56" t="s">
        <v>499</v>
      </c>
      <c r="F62" s="7"/>
      <c r="G62" s="7"/>
      <c r="H62" s="5" t="s">
        <v>502</v>
      </c>
      <c r="I62" s="7"/>
      <c r="J62" s="7"/>
      <c r="K62" s="7"/>
      <c r="L62" s="7">
        <v>60</v>
      </c>
      <c r="M62" s="67"/>
      <c r="N62" s="67"/>
      <c r="O62" s="7">
        <v>1</v>
      </c>
      <c r="P62" s="70"/>
      <c r="Q62" s="7"/>
      <c r="R62" s="10" t="e">
        <f t="shared" si="1"/>
        <v>#DIV/0!</v>
      </c>
      <c r="S62" s="7" t="e">
        <f t="shared" si="2"/>
        <v>#DIV/0!</v>
      </c>
      <c r="T62" s="11">
        <f t="shared" si="7"/>
        <v>60</v>
      </c>
      <c r="U62" s="7">
        <f t="shared" si="4"/>
        <v>2</v>
      </c>
      <c r="V62" s="7">
        <v>0</v>
      </c>
      <c r="W62" s="7">
        <v>1</v>
      </c>
      <c r="X62" s="7">
        <v>1</v>
      </c>
      <c r="Y62" s="7">
        <v>0</v>
      </c>
      <c r="Z62" s="7" t="e">
        <f t="shared" si="5"/>
        <v>#DIV/0!</v>
      </c>
      <c r="AA62" s="7"/>
      <c r="AB62" s="7"/>
      <c r="AC62" s="7"/>
      <c r="AD62" s="7"/>
      <c r="AE62" s="7"/>
      <c r="AF62" s="7"/>
      <c r="AG62" s="7"/>
      <c r="AH62" s="7"/>
      <c r="AI62" s="7"/>
      <c r="AJ62" s="7"/>
      <c r="AK62" s="7"/>
      <c r="AL62" s="15"/>
      <c r="AM62" s="15"/>
      <c r="AN62" s="15"/>
      <c r="AO62" s="15"/>
      <c r="AP62" s="15"/>
      <c r="AQ62" s="15"/>
      <c r="AR62" s="15"/>
    </row>
    <row r="63" spans="1:44" ht="22.5" customHeight="1">
      <c r="A63" s="37" t="s">
        <v>523</v>
      </c>
      <c r="B63" s="7" t="e">
        <f t="shared" si="0"/>
        <v>#DIV/0!</v>
      </c>
      <c r="C63" s="4" t="s">
        <v>470</v>
      </c>
      <c r="D63" s="4" t="s">
        <v>546</v>
      </c>
      <c r="E63" s="7" t="s">
        <v>472</v>
      </c>
      <c r="F63" s="7" t="s">
        <v>473</v>
      </c>
      <c r="G63" s="8" t="s">
        <v>474</v>
      </c>
      <c r="H63" s="8" t="s">
        <v>524</v>
      </c>
      <c r="I63" s="7"/>
      <c r="J63" s="7"/>
      <c r="K63" s="7"/>
      <c r="L63" s="7"/>
      <c r="M63" s="31"/>
      <c r="N63" s="31"/>
      <c r="O63" s="7">
        <v>16</v>
      </c>
      <c r="P63" s="31"/>
      <c r="Q63" s="7"/>
      <c r="R63" s="10" t="e">
        <f t="shared" si="1"/>
        <v>#DIV/0!</v>
      </c>
      <c r="S63" s="7" t="e">
        <f t="shared" si="2"/>
        <v>#DIV/0!</v>
      </c>
      <c r="T63" s="11">
        <f t="shared" si="7"/>
        <v>0</v>
      </c>
      <c r="U63" s="7">
        <f t="shared" si="4"/>
        <v>1</v>
      </c>
      <c r="V63" s="7">
        <v>0</v>
      </c>
      <c r="W63" s="7">
        <v>1</v>
      </c>
      <c r="X63" s="7">
        <v>1</v>
      </c>
      <c r="Y63" s="7">
        <v>0</v>
      </c>
      <c r="Z63" s="7" t="e">
        <f t="shared" si="5"/>
        <v>#DIV/0!</v>
      </c>
      <c r="AA63" s="7"/>
      <c r="AB63" s="7" t="s">
        <v>45</v>
      </c>
      <c r="AC63" s="7"/>
      <c r="AD63" s="7">
        <v>16</v>
      </c>
      <c r="AE63" s="7"/>
      <c r="AF63" s="7"/>
      <c r="AG63" s="7"/>
      <c r="AH63" s="7"/>
      <c r="AI63" s="7"/>
      <c r="AJ63" s="7"/>
      <c r="AK63" s="7" t="s">
        <v>57</v>
      </c>
      <c r="AL63" s="15"/>
      <c r="AM63" s="15"/>
      <c r="AN63" s="15"/>
      <c r="AO63" s="15"/>
      <c r="AP63" s="15"/>
      <c r="AQ63" s="15"/>
      <c r="AR63" s="15"/>
    </row>
    <row r="64" spans="1:44" ht="15">
      <c r="A64" s="37"/>
      <c r="B64" s="15"/>
      <c r="C64" s="37"/>
      <c r="D64" s="37"/>
      <c r="E64" s="37"/>
      <c r="F64" s="37"/>
      <c r="G64" s="32"/>
      <c r="H64" s="32"/>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row>
    <row r="65" spans="1:44" ht="15">
      <c r="A65" s="37"/>
      <c r="B65" s="15"/>
      <c r="C65" s="37"/>
      <c r="D65" s="37"/>
      <c r="E65" s="37"/>
      <c r="F65" s="37"/>
      <c r="G65" s="32"/>
      <c r="H65" s="32"/>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row>
    <row r="66" spans="1:44" ht="15">
      <c r="A66" s="37"/>
      <c r="B66" s="15"/>
      <c r="C66" s="37"/>
      <c r="D66" s="37"/>
      <c r="E66" s="37"/>
      <c r="F66" s="37"/>
      <c r="G66" s="32"/>
      <c r="H66" s="32"/>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row>
    <row r="67" spans="1:44" ht="15">
      <c r="A67" s="37"/>
      <c r="B67" s="15"/>
      <c r="C67" s="37"/>
      <c r="D67" s="37"/>
      <c r="E67" s="37"/>
      <c r="F67" s="37"/>
      <c r="G67" s="32"/>
      <c r="H67" s="32"/>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row>
    <row r="68" spans="1:44" ht="15">
      <c r="A68" s="37"/>
      <c r="B68" s="15"/>
      <c r="C68" s="37"/>
      <c r="D68" s="37"/>
      <c r="E68" s="37"/>
      <c r="F68" s="37"/>
      <c r="G68" s="32"/>
      <c r="H68" s="32"/>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row>
    <row r="69" spans="1:44" ht="15">
      <c r="A69" s="37"/>
      <c r="B69" s="15"/>
      <c r="C69" s="37"/>
      <c r="D69" s="37"/>
      <c r="E69" s="37"/>
      <c r="F69" s="37"/>
      <c r="G69" s="32"/>
      <c r="H69" s="32"/>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row>
    <row r="70" spans="1:44" ht="15">
      <c r="A70" s="37"/>
      <c r="B70" s="15"/>
      <c r="C70" s="37"/>
      <c r="D70" s="37"/>
      <c r="E70" s="37"/>
      <c r="F70" s="37"/>
      <c r="G70" s="32"/>
      <c r="H70" s="32"/>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row>
    <row r="71" spans="1:44" ht="15">
      <c r="A71" s="37"/>
      <c r="B71" s="15"/>
      <c r="C71" s="37"/>
      <c r="D71" s="37"/>
      <c r="E71" s="37"/>
      <c r="F71" s="37"/>
      <c r="G71" s="32"/>
      <c r="H71" s="32"/>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row>
    <row r="72" spans="1:44" ht="15">
      <c r="A72" s="37"/>
      <c r="B72" s="15"/>
      <c r="C72" s="37"/>
      <c r="D72" s="37"/>
      <c r="E72" s="37"/>
      <c r="F72" s="37"/>
      <c r="G72" s="32"/>
      <c r="H72" s="32"/>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row>
    <row r="73" spans="1:44" ht="15">
      <c r="A73" s="37"/>
      <c r="B73" s="15"/>
      <c r="C73" s="37"/>
      <c r="D73" s="37"/>
      <c r="E73" s="37"/>
      <c r="F73" s="37"/>
      <c r="G73" s="32"/>
      <c r="H73" s="32"/>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row>
    <row r="74" spans="1:44" ht="15">
      <c r="A74" s="37"/>
      <c r="B74" s="15"/>
      <c r="C74" s="37"/>
      <c r="D74" s="37"/>
      <c r="E74" s="37"/>
      <c r="F74" s="37"/>
      <c r="G74" s="32"/>
      <c r="H74" s="32"/>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row>
    <row r="75" spans="1:44" ht="15">
      <c r="A75" s="37"/>
      <c r="B75" s="15"/>
      <c r="C75" s="37"/>
      <c r="D75" s="37"/>
      <c r="E75" s="37"/>
      <c r="F75" s="37"/>
      <c r="G75" s="32"/>
      <c r="H75" s="32"/>
      <c r="I75" s="15"/>
      <c r="J75" s="15"/>
      <c r="K75" s="15"/>
      <c r="L75" s="15"/>
      <c r="M75" s="15"/>
      <c r="N75" s="15"/>
      <c r="O75" s="15"/>
      <c r="P75" s="15"/>
      <c r="Q75" s="15"/>
      <c r="R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row>
    <row r="76" spans="1:44" ht="15">
      <c r="A76" s="37"/>
      <c r="B76" s="15"/>
      <c r="C76" s="37"/>
      <c r="D76" s="37"/>
      <c r="E76" s="37"/>
      <c r="F76" s="37"/>
      <c r="G76" s="32"/>
      <c r="H76" s="32"/>
      <c r="I76" s="15"/>
      <c r="J76" s="15"/>
      <c r="K76" s="15"/>
      <c r="L76" s="15"/>
      <c r="M76" s="15"/>
      <c r="N76" s="15"/>
      <c r="O76" s="15"/>
      <c r="P76" s="15"/>
      <c r="Q76" s="15"/>
      <c r="R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row>
    <row r="77" spans="1:44" ht="15">
      <c r="A77" s="37"/>
      <c r="B77" s="15"/>
      <c r="C77" s="37"/>
      <c r="D77" s="37"/>
      <c r="E77" s="37"/>
      <c r="F77" s="37"/>
      <c r="G77" s="32"/>
      <c r="H77" s="32"/>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row>
    <row r="78" spans="1:44" ht="15">
      <c r="A78" s="37"/>
      <c r="B78" s="15"/>
      <c r="C78" s="37"/>
      <c r="D78" s="37"/>
      <c r="E78" s="37"/>
      <c r="F78" s="37"/>
      <c r="G78" s="32"/>
      <c r="H78" s="32"/>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row>
    <row r="79" spans="1:44" ht="15">
      <c r="A79" s="37"/>
      <c r="B79" s="15"/>
      <c r="C79" s="37"/>
      <c r="D79" s="37"/>
      <c r="E79" s="37"/>
      <c r="F79" s="37"/>
      <c r="G79" s="32"/>
      <c r="H79" s="32"/>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row>
    <row r="80" spans="1:44" ht="15">
      <c r="A80" s="37"/>
      <c r="B80" s="15"/>
      <c r="C80" s="37"/>
      <c r="D80" s="37"/>
      <c r="E80" s="37"/>
      <c r="F80" s="37"/>
      <c r="G80" s="32"/>
      <c r="H80" s="32"/>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row>
    <row r="81" spans="1:44" ht="15">
      <c r="A81" s="37"/>
      <c r="B81" s="15"/>
      <c r="C81" s="37"/>
      <c r="D81" s="37"/>
      <c r="E81" s="37"/>
      <c r="F81" s="37"/>
      <c r="G81" s="32"/>
      <c r="H81" s="32"/>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row>
    <row r="82" spans="1:44" ht="15">
      <c r="A82" s="37"/>
      <c r="B82" s="15"/>
      <c r="C82" s="37"/>
      <c r="D82" s="37"/>
      <c r="E82" s="37"/>
      <c r="F82" s="37"/>
      <c r="G82" s="32"/>
      <c r="H82" s="32"/>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row>
    <row r="83" spans="1:44" ht="15">
      <c r="A83" s="37"/>
      <c r="B83" s="15"/>
      <c r="C83" s="37"/>
      <c r="D83" s="37"/>
      <c r="E83" s="37"/>
      <c r="F83" s="37"/>
      <c r="G83" s="32"/>
      <c r="H83" s="32"/>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row>
    <row r="84" spans="1:44" ht="15">
      <c r="A84" s="37"/>
      <c r="B84" s="15"/>
      <c r="C84" s="37"/>
      <c r="D84" s="37"/>
      <c r="E84" s="37"/>
      <c r="F84" s="37"/>
      <c r="G84" s="32"/>
      <c r="H84" s="32"/>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row>
    <row r="85" spans="1:44" ht="15">
      <c r="A85" s="37"/>
      <c r="B85" s="15"/>
      <c r="C85" s="37"/>
      <c r="D85" s="37"/>
      <c r="E85" s="37"/>
      <c r="F85" s="37"/>
      <c r="G85" s="32"/>
      <c r="H85" s="32"/>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row>
    <row r="86" spans="1:44" ht="15">
      <c r="A86" s="37"/>
      <c r="B86" s="15"/>
      <c r="C86" s="37"/>
      <c r="D86" s="37"/>
      <c r="E86" s="37"/>
      <c r="F86" s="37"/>
      <c r="G86" s="32"/>
      <c r="H86" s="32"/>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row>
    <row r="87" spans="1:44" ht="15">
      <c r="A87" s="37"/>
      <c r="B87" s="15"/>
      <c r="C87" s="37"/>
      <c r="D87" s="37"/>
      <c r="E87" s="37"/>
      <c r="F87" s="37"/>
      <c r="G87" s="32"/>
      <c r="H87" s="32"/>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row>
    <row r="88" spans="1:44" ht="15">
      <c r="A88" s="37"/>
      <c r="B88" s="15"/>
      <c r="C88" s="37"/>
      <c r="D88" s="37"/>
      <c r="E88" s="37"/>
      <c r="F88" s="37"/>
      <c r="G88" s="32"/>
      <c r="H88" s="32"/>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row>
    <row r="89" spans="1:44" ht="15">
      <c r="A89" s="37"/>
      <c r="B89" s="15"/>
      <c r="C89" s="37"/>
      <c r="D89" s="37"/>
      <c r="E89" s="37"/>
      <c r="F89" s="37"/>
      <c r="G89" s="32"/>
      <c r="H89" s="32"/>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row>
    <row r="90" spans="1:44" ht="15">
      <c r="A90" s="37"/>
      <c r="B90" s="15"/>
      <c r="C90" s="37"/>
      <c r="D90" s="37"/>
      <c r="E90" s="37"/>
      <c r="F90" s="37"/>
      <c r="G90" s="32"/>
      <c r="H90" s="32"/>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row>
    <row r="91" spans="1:44" ht="15">
      <c r="A91" s="37"/>
      <c r="B91" s="15"/>
      <c r="C91" s="37"/>
      <c r="D91" s="37"/>
      <c r="E91" s="37"/>
      <c r="F91" s="37"/>
      <c r="G91" s="32"/>
      <c r="H91" s="32"/>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row>
    <row r="92" spans="1:44" ht="15">
      <c r="A92" s="37"/>
      <c r="B92" s="15"/>
      <c r="C92" s="37"/>
      <c r="D92" s="37"/>
      <c r="E92" s="37"/>
      <c r="F92" s="37"/>
      <c r="G92" s="32"/>
      <c r="H92" s="32"/>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row>
    <row r="93" spans="1:44" ht="15">
      <c r="A93" s="37"/>
      <c r="B93" s="15"/>
      <c r="C93" s="37"/>
      <c r="D93" s="37"/>
      <c r="E93" s="37"/>
      <c r="F93" s="37"/>
      <c r="G93" s="32"/>
      <c r="H93" s="32"/>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row>
    <row r="94" spans="1:44" ht="15">
      <c r="A94" s="37"/>
      <c r="B94" s="15"/>
      <c r="C94" s="37"/>
      <c r="D94" s="37"/>
      <c r="E94" s="37"/>
      <c r="F94" s="37"/>
      <c r="G94" s="32"/>
      <c r="H94" s="32"/>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row>
    <row r="95" spans="1:44" ht="15">
      <c r="A95" s="37"/>
      <c r="B95" s="15"/>
      <c r="C95" s="37"/>
      <c r="D95" s="37"/>
      <c r="E95" s="37"/>
      <c r="F95" s="37"/>
      <c r="G95" s="32"/>
      <c r="H95" s="32"/>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row>
    <row r="96" spans="1:44" ht="15">
      <c r="A96" s="37"/>
      <c r="B96" s="15"/>
      <c r="C96" s="37"/>
      <c r="D96" s="37"/>
      <c r="E96" s="37"/>
      <c r="F96" s="37"/>
      <c r="G96" s="32"/>
      <c r="H96" s="32"/>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row>
    <row r="97" spans="1:44" ht="15">
      <c r="A97" s="37"/>
      <c r="B97" s="15"/>
      <c r="C97" s="37"/>
      <c r="D97" s="37"/>
      <c r="E97" s="37"/>
      <c r="F97" s="37"/>
      <c r="G97" s="32"/>
      <c r="H97" s="32"/>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row>
    <row r="98" spans="1:44" ht="15">
      <c r="A98" s="37"/>
      <c r="B98" s="15"/>
      <c r="C98" s="37"/>
      <c r="D98" s="37"/>
      <c r="E98" s="37"/>
      <c r="F98" s="37"/>
      <c r="G98" s="32"/>
      <c r="H98" s="32"/>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row>
    <row r="99" spans="1:44" ht="15">
      <c r="A99" s="37"/>
      <c r="B99" s="15"/>
      <c r="C99" s="37"/>
      <c r="D99" s="37"/>
      <c r="E99" s="37"/>
      <c r="F99" s="37"/>
      <c r="G99" s="32"/>
      <c r="H99" s="32"/>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row>
    <row r="100" spans="1:44" ht="15">
      <c r="A100" s="37"/>
      <c r="B100" s="15"/>
      <c r="C100" s="37"/>
      <c r="D100" s="37"/>
      <c r="E100" s="37"/>
      <c r="F100" s="37"/>
      <c r="G100" s="32"/>
      <c r="H100" s="32"/>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row>
    <row r="101" spans="1:44" ht="15">
      <c r="A101" s="37"/>
      <c r="B101" s="15"/>
      <c r="C101" s="37"/>
      <c r="D101" s="37"/>
      <c r="E101" s="37"/>
      <c r="F101" s="37"/>
      <c r="G101" s="32"/>
      <c r="H101" s="32"/>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row>
    <row r="102" spans="1:44" ht="15">
      <c r="A102" s="37"/>
      <c r="B102" s="15"/>
      <c r="C102" s="37"/>
      <c r="D102" s="37"/>
      <c r="E102" s="37"/>
      <c r="F102" s="37"/>
      <c r="G102" s="32"/>
      <c r="H102" s="32"/>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row>
    <row r="103" spans="1:44" ht="15">
      <c r="A103" s="37"/>
      <c r="B103" s="15"/>
      <c r="C103" s="37"/>
      <c r="D103" s="37"/>
      <c r="E103" s="37"/>
      <c r="F103" s="37"/>
      <c r="G103" s="32"/>
      <c r="H103" s="32"/>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row>
    <row r="104" spans="1:44" ht="15">
      <c r="A104" s="37"/>
      <c r="B104" s="15"/>
      <c r="C104" s="37"/>
      <c r="D104" s="37"/>
      <c r="E104" s="37"/>
      <c r="F104" s="37"/>
      <c r="G104" s="32"/>
      <c r="H104" s="32"/>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row>
    <row r="105" spans="1:44" ht="15">
      <c r="A105" s="37"/>
      <c r="B105" s="15"/>
      <c r="C105" s="37"/>
      <c r="D105" s="37"/>
      <c r="E105" s="37"/>
      <c r="F105" s="37"/>
      <c r="G105" s="32"/>
      <c r="H105" s="32"/>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row>
    <row r="106" spans="1:44" ht="15">
      <c r="A106" s="37"/>
      <c r="B106" s="15"/>
      <c r="C106" s="37"/>
      <c r="D106" s="37"/>
      <c r="E106" s="37"/>
      <c r="F106" s="37"/>
      <c r="G106" s="32"/>
      <c r="H106" s="32"/>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row>
    <row r="107" spans="1:44" ht="15">
      <c r="A107" s="37"/>
      <c r="B107" s="15"/>
      <c r="C107" s="37"/>
      <c r="D107" s="37"/>
      <c r="E107" s="37"/>
      <c r="F107" s="37"/>
      <c r="G107" s="32"/>
      <c r="H107" s="32"/>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row>
    <row r="108" spans="1:44" ht="15">
      <c r="A108" s="37"/>
      <c r="B108" s="15"/>
      <c r="C108" s="37"/>
      <c r="D108" s="37"/>
      <c r="E108" s="37"/>
      <c r="F108" s="37"/>
      <c r="G108" s="32"/>
      <c r="H108" s="32"/>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row>
    <row r="109" spans="1:44" ht="15">
      <c r="A109" s="37"/>
      <c r="B109" s="15"/>
      <c r="C109" s="37"/>
      <c r="D109" s="37"/>
      <c r="E109" s="37"/>
      <c r="F109" s="37"/>
      <c r="G109" s="32"/>
      <c r="H109" s="32"/>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row>
    <row r="110" spans="1:44" ht="15">
      <c r="A110" s="37"/>
      <c r="B110" s="15"/>
      <c r="C110" s="37"/>
      <c r="D110" s="37"/>
      <c r="E110" s="37"/>
      <c r="F110" s="37"/>
      <c r="G110" s="32"/>
      <c r="H110" s="32"/>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row>
    <row r="111" spans="1:44" ht="15">
      <c r="A111" s="37"/>
      <c r="B111" s="15"/>
      <c r="C111" s="37"/>
      <c r="D111" s="37"/>
      <c r="E111" s="37"/>
      <c r="F111" s="37"/>
      <c r="G111" s="32"/>
      <c r="H111" s="32"/>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row>
    <row r="112" spans="1:44" ht="15">
      <c r="A112" s="37"/>
      <c r="B112" s="15"/>
      <c r="C112" s="37"/>
      <c r="D112" s="37"/>
      <c r="E112" s="37"/>
      <c r="F112" s="37"/>
      <c r="G112" s="32"/>
      <c r="H112" s="32"/>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row>
    <row r="113" spans="1:44" ht="15">
      <c r="A113" s="37"/>
      <c r="B113" s="15"/>
      <c r="C113" s="37"/>
      <c r="D113" s="37"/>
      <c r="E113" s="37"/>
      <c r="F113" s="37"/>
      <c r="G113" s="32"/>
      <c r="H113" s="32"/>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row>
    <row r="114" spans="1:44" ht="15">
      <c r="A114" s="37"/>
      <c r="B114" s="15"/>
      <c r="C114" s="37"/>
      <c r="D114" s="37"/>
      <c r="E114" s="37"/>
      <c r="F114" s="37"/>
      <c r="G114" s="32"/>
      <c r="H114" s="32"/>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row>
    <row r="115" spans="1:44" ht="15">
      <c r="A115" s="37"/>
      <c r="B115" s="15"/>
      <c r="C115" s="37"/>
      <c r="D115" s="37"/>
      <c r="E115" s="37"/>
      <c r="F115" s="37"/>
      <c r="G115" s="32"/>
      <c r="H115" s="32"/>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row>
    <row r="116" spans="1:44" ht="15">
      <c r="A116" s="37"/>
      <c r="B116" s="15"/>
      <c r="C116" s="37"/>
      <c r="D116" s="37"/>
      <c r="E116" s="37"/>
      <c r="F116" s="37"/>
      <c r="G116" s="32"/>
      <c r="H116" s="32"/>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row>
    <row r="117" spans="1:44" ht="15">
      <c r="A117" s="37"/>
      <c r="B117" s="15"/>
      <c r="C117" s="37"/>
      <c r="D117" s="37"/>
      <c r="E117" s="37"/>
      <c r="F117" s="37"/>
      <c r="G117" s="32"/>
      <c r="H117" s="32"/>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row>
    <row r="118" spans="1:44" ht="15">
      <c r="A118" s="37"/>
      <c r="B118" s="15"/>
      <c r="C118" s="37"/>
      <c r="D118" s="37"/>
      <c r="E118" s="37"/>
      <c r="F118" s="37"/>
      <c r="G118" s="32"/>
      <c r="H118" s="32"/>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row>
    <row r="119" spans="1:44" ht="15">
      <c r="A119" s="37"/>
      <c r="B119" s="15"/>
      <c r="C119" s="37"/>
      <c r="D119" s="37"/>
      <c r="E119" s="37"/>
      <c r="F119" s="37"/>
      <c r="G119" s="32"/>
      <c r="H119" s="32"/>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row>
    <row r="120" spans="1:44" ht="15">
      <c r="A120" s="37"/>
      <c r="B120" s="15"/>
      <c r="C120" s="37"/>
      <c r="D120" s="37"/>
      <c r="E120" s="37"/>
      <c r="F120" s="37"/>
      <c r="G120" s="32"/>
      <c r="H120" s="32"/>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row>
    <row r="121" spans="1:44" ht="15">
      <c r="A121" s="37"/>
      <c r="B121" s="15"/>
      <c r="C121" s="37"/>
      <c r="D121" s="37"/>
      <c r="E121" s="37"/>
      <c r="F121" s="37"/>
      <c r="G121" s="32"/>
      <c r="H121" s="32"/>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row>
    <row r="122" spans="1:44" ht="15">
      <c r="A122" s="37"/>
      <c r="B122" s="15"/>
      <c r="C122" s="37"/>
      <c r="D122" s="37"/>
      <c r="E122" s="37"/>
      <c r="F122" s="37"/>
      <c r="G122" s="32"/>
      <c r="H122" s="32"/>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row>
    <row r="123" spans="1:44" ht="15">
      <c r="A123" s="37"/>
      <c r="B123" s="15"/>
      <c r="C123" s="37"/>
      <c r="D123" s="37"/>
      <c r="E123" s="37"/>
      <c r="F123" s="37"/>
      <c r="G123" s="32"/>
      <c r="H123" s="32"/>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row>
    <row r="124" spans="1:44" ht="15">
      <c r="A124" s="37"/>
      <c r="B124" s="15"/>
      <c r="C124" s="37"/>
      <c r="D124" s="37"/>
      <c r="E124" s="37"/>
      <c r="F124" s="37"/>
      <c r="G124" s="32"/>
      <c r="H124" s="32"/>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row>
    <row r="125" spans="1:44" ht="15">
      <c r="A125" s="37"/>
      <c r="B125" s="15"/>
      <c r="C125" s="37"/>
      <c r="D125" s="37"/>
      <c r="E125" s="37"/>
      <c r="F125" s="37"/>
      <c r="G125" s="32"/>
      <c r="H125" s="32"/>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row>
    <row r="126" spans="1:44" ht="15">
      <c r="A126" s="37"/>
      <c r="B126" s="15"/>
      <c r="C126" s="37"/>
      <c r="D126" s="37"/>
      <c r="E126" s="37"/>
      <c r="F126" s="37"/>
      <c r="G126" s="32"/>
      <c r="H126" s="32"/>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row>
    <row r="127" spans="1:44" ht="15">
      <c r="A127" s="37"/>
      <c r="B127" s="15"/>
      <c r="C127" s="37"/>
      <c r="D127" s="37"/>
      <c r="E127" s="37"/>
      <c r="F127" s="37"/>
      <c r="G127" s="32"/>
      <c r="H127" s="32"/>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row>
    <row r="128" spans="1:44" ht="15">
      <c r="A128" s="37"/>
      <c r="B128" s="15"/>
      <c r="C128" s="37"/>
      <c r="D128" s="37"/>
      <c r="E128" s="37"/>
      <c r="F128" s="37"/>
      <c r="G128" s="32"/>
      <c r="H128" s="32"/>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row>
    <row r="129" spans="1:44" ht="15">
      <c r="A129" s="37"/>
      <c r="B129" s="15"/>
      <c r="C129" s="37"/>
      <c r="D129" s="37"/>
      <c r="E129" s="37"/>
      <c r="F129" s="37"/>
      <c r="G129" s="32"/>
      <c r="H129" s="32"/>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row>
    <row r="130" spans="1:44" ht="15">
      <c r="A130" s="37"/>
      <c r="B130" s="15"/>
      <c r="C130" s="37"/>
      <c r="D130" s="37"/>
      <c r="E130" s="37"/>
      <c r="F130" s="37"/>
      <c r="G130" s="32"/>
      <c r="H130" s="32"/>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row>
    <row r="131" spans="1:44" ht="15">
      <c r="A131" s="37"/>
      <c r="B131" s="15"/>
      <c r="C131" s="37"/>
      <c r="D131" s="37"/>
      <c r="E131" s="37"/>
      <c r="F131" s="37"/>
      <c r="G131" s="32"/>
      <c r="H131" s="32"/>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row>
    <row r="132" spans="1:44" ht="15">
      <c r="A132" s="37"/>
      <c r="B132" s="15"/>
      <c r="C132" s="37"/>
      <c r="D132" s="37"/>
      <c r="E132" s="37"/>
      <c r="F132" s="37"/>
      <c r="G132" s="32"/>
      <c r="H132" s="32"/>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row>
    <row r="133" spans="1:44" ht="15">
      <c r="A133" s="37"/>
      <c r="B133" s="15"/>
      <c r="C133" s="37"/>
      <c r="D133" s="37"/>
      <c r="E133" s="37"/>
      <c r="F133" s="37"/>
      <c r="G133" s="32"/>
      <c r="H133" s="32"/>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row>
    <row r="134" spans="1:44" ht="15">
      <c r="A134" s="37"/>
      <c r="B134" s="15"/>
      <c r="C134" s="37"/>
      <c r="D134" s="37"/>
      <c r="E134" s="37"/>
      <c r="F134" s="37"/>
      <c r="G134" s="32"/>
      <c r="H134" s="32"/>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row>
    <row r="135" spans="1:44" ht="15">
      <c r="A135" s="37"/>
      <c r="B135" s="15"/>
      <c r="C135" s="37"/>
      <c r="D135" s="37"/>
      <c r="E135" s="37"/>
      <c r="F135" s="37"/>
      <c r="G135" s="32"/>
      <c r="H135" s="32"/>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row>
    <row r="136" spans="1:44" ht="15">
      <c r="A136" s="37"/>
      <c r="B136" s="15"/>
      <c r="C136" s="37"/>
      <c r="D136" s="37"/>
      <c r="E136" s="37"/>
      <c r="F136" s="37"/>
      <c r="G136" s="32"/>
      <c r="H136" s="32"/>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row>
    <row r="137" spans="1:44" ht="15">
      <c r="A137" s="37"/>
      <c r="B137" s="15"/>
      <c r="C137" s="37"/>
      <c r="D137" s="37"/>
      <c r="E137" s="37"/>
      <c r="F137" s="37"/>
      <c r="G137" s="32"/>
      <c r="H137" s="32"/>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row>
    <row r="138" spans="1:44" ht="15">
      <c r="A138" s="37"/>
      <c r="B138" s="15"/>
      <c r="C138" s="37"/>
      <c r="D138" s="37"/>
      <c r="E138" s="37"/>
      <c r="F138" s="37"/>
      <c r="G138" s="32"/>
      <c r="H138" s="32"/>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row>
    <row r="139" spans="1:44" ht="15">
      <c r="A139" s="37"/>
      <c r="B139" s="15"/>
      <c r="C139" s="37"/>
      <c r="D139" s="37"/>
      <c r="E139" s="37"/>
      <c r="F139" s="37"/>
      <c r="G139" s="32"/>
      <c r="H139" s="32"/>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row>
    <row r="140" spans="1:44" ht="15">
      <c r="A140" s="37"/>
      <c r="B140" s="15"/>
      <c r="C140" s="37"/>
      <c r="D140" s="37"/>
      <c r="E140" s="37"/>
      <c r="F140" s="37"/>
      <c r="G140" s="32"/>
      <c r="H140" s="32"/>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row>
    <row r="141" spans="1:44" ht="15">
      <c r="A141" s="37"/>
      <c r="B141" s="15"/>
      <c r="C141" s="37"/>
      <c r="D141" s="37"/>
      <c r="E141" s="37"/>
      <c r="F141" s="37"/>
      <c r="G141" s="32"/>
      <c r="H141" s="32"/>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row>
    <row r="142" spans="1:44" ht="15">
      <c r="A142" s="37"/>
      <c r="B142" s="15"/>
      <c r="C142" s="37"/>
      <c r="D142" s="37"/>
      <c r="E142" s="37"/>
      <c r="F142" s="37"/>
      <c r="G142" s="32"/>
      <c r="H142" s="32"/>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row>
    <row r="143" spans="1:44" ht="15">
      <c r="A143" s="37"/>
      <c r="B143" s="15"/>
      <c r="C143" s="37"/>
      <c r="D143" s="37"/>
      <c r="E143" s="37"/>
      <c r="F143" s="37"/>
      <c r="G143" s="32"/>
      <c r="H143" s="32"/>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row>
    <row r="144" spans="1:44" ht="15">
      <c r="A144" s="37"/>
      <c r="B144" s="15"/>
      <c r="C144" s="37"/>
      <c r="D144" s="37"/>
      <c r="E144" s="37"/>
      <c r="F144" s="37"/>
      <c r="G144" s="32"/>
      <c r="H144" s="32"/>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row>
    <row r="145" spans="1:44" ht="15">
      <c r="A145" s="37"/>
      <c r="B145" s="15"/>
      <c r="C145" s="37"/>
      <c r="D145" s="37"/>
      <c r="E145" s="37"/>
      <c r="F145" s="37"/>
      <c r="G145" s="32"/>
      <c r="H145" s="32"/>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row>
    <row r="146" spans="1:44" ht="15">
      <c r="A146" s="37"/>
      <c r="B146" s="15"/>
      <c r="C146" s="37"/>
      <c r="D146" s="37"/>
      <c r="E146" s="37"/>
      <c r="F146" s="37"/>
      <c r="G146" s="32"/>
      <c r="H146" s="32"/>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row>
    <row r="147" spans="1:44" ht="15">
      <c r="A147" s="37"/>
      <c r="B147" s="15"/>
      <c r="C147" s="37"/>
      <c r="D147" s="37"/>
      <c r="E147" s="37"/>
      <c r="F147" s="37"/>
      <c r="G147" s="32"/>
      <c r="H147" s="32"/>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row>
    <row r="148" spans="1:44" ht="15">
      <c r="A148" s="37"/>
      <c r="B148" s="15"/>
      <c r="C148" s="37"/>
      <c r="D148" s="37"/>
      <c r="E148" s="37"/>
      <c r="F148" s="37"/>
      <c r="G148" s="32"/>
      <c r="H148" s="32"/>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row>
    <row r="149" spans="1:44" ht="15">
      <c r="A149" s="37"/>
      <c r="B149" s="15"/>
      <c r="C149" s="37"/>
      <c r="D149" s="37"/>
      <c r="E149" s="37"/>
      <c r="F149" s="37"/>
      <c r="G149" s="32"/>
      <c r="H149" s="32"/>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row>
    <row r="150" spans="1:44" ht="15">
      <c r="A150" s="37"/>
      <c r="B150" s="15"/>
      <c r="C150" s="37"/>
      <c r="D150" s="37"/>
      <c r="E150" s="37"/>
      <c r="F150" s="37"/>
      <c r="G150" s="32"/>
      <c r="H150" s="32"/>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row>
    <row r="151" spans="1:44" ht="15">
      <c r="A151" s="37"/>
      <c r="B151" s="15"/>
      <c r="C151" s="37"/>
      <c r="D151" s="37"/>
      <c r="E151" s="37"/>
      <c r="F151" s="37"/>
      <c r="G151" s="32"/>
      <c r="H151" s="32"/>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row>
    <row r="152" spans="1:44" ht="15">
      <c r="A152" s="37"/>
      <c r="B152" s="15"/>
      <c r="C152" s="37"/>
      <c r="D152" s="37"/>
      <c r="E152" s="37"/>
      <c r="F152" s="37"/>
      <c r="G152" s="32"/>
      <c r="H152" s="32"/>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row>
    <row r="153" spans="1:44" ht="15">
      <c r="A153" s="37"/>
      <c r="B153" s="15"/>
      <c r="C153" s="37"/>
      <c r="D153" s="37"/>
      <c r="E153" s="37"/>
      <c r="F153" s="37"/>
      <c r="G153" s="32"/>
      <c r="H153" s="32"/>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row>
    <row r="154" spans="1:44" ht="15">
      <c r="A154" s="37"/>
      <c r="B154" s="15"/>
      <c r="C154" s="37"/>
      <c r="D154" s="37"/>
      <c r="E154" s="37"/>
      <c r="F154" s="37"/>
      <c r="G154" s="32"/>
      <c r="H154" s="32"/>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row>
    <row r="155" spans="1:44" ht="15">
      <c r="A155" s="37"/>
      <c r="B155" s="15"/>
      <c r="C155" s="37"/>
      <c r="D155" s="37"/>
      <c r="E155" s="37"/>
      <c r="F155" s="37"/>
      <c r="G155" s="32"/>
      <c r="H155" s="32"/>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row>
    <row r="156" spans="1:44" ht="15">
      <c r="A156" s="37"/>
      <c r="B156" s="15"/>
      <c r="C156" s="37"/>
      <c r="D156" s="37"/>
      <c r="E156" s="37"/>
      <c r="F156" s="37"/>
      <c r="G156" s="32"/>
      <c r="H156" s="32"/>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row>
    <row r="157" spans="1:44" ht="15">
      <c r="A157" s="37"/>
      <c r="B157" s="15"/>
      <c r="C157" s="37"/>
      <c r="D157" s="37"/>
      <c r="E157" s="37"/>
      <c r="F157" s="37"/>
      <c r="G157" s="32"/>
      <c r="H157" s="32"/>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row>
    <row r="158" spans="1:44" ht="15">
      <c r="A158" s="37"/>
      <c r="B158" s="15"/>
      <c r="C158" s="37"/>
      <c r="D158" s="37"/>
      <c r="E158" s="37"/>
      <c r="F158" s="37"/>
      <c r="G158" s="32"/>
      <c r="H158" s="32"/>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row>
    <row r="159" spans="1:44" ht="15">
      <c r="A159" s="37"/>
      <c r="B159" s="15"/>
      <c r="C159" s="37"/>
      <c r="D159" s="37"/>
      <c r="E159" s="37"/>
      <c r="F159" s="37"/>
      <c r="G159" s="32"/>
      <c r="H159" s="32"/>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row>
    <row r="160" spans="1:44" ht="15">
      <c r="A160" s="37"/>
      <c r="B160" s="15"/>
      <c r="C160" s="37"/>
      <c r="D160" s="37"/>
      <c r="E160" s="37"/>
      <c r="F160" s="37"/>
      <c r="G160" s="32"/>
      <c r="H160" s="32"/>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row>
    <row r="161" spans="1:44" ht="15">
      <c r="A161" s="37"/>
      <c r="B161" s="15"/>
      <c r="C161" s="37"/>
      <c r="D161" s="37"/>
      <c r="E161" s="37"/>
      <c r="F161" s="37"/>
      <c r="G161" s="32"/>
      <c r="H161" s="32"/>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row>
    <row r="162" spans="1:44" ht="15">
      <c r="A162" s="37"/>
      <c r="B162" s="15"/>
      <c r="C162" s="37"/>
      <c r="D162" s="37"/>
      <c r="E162" s="37"/>
      <c r="F162" s="37"/>
      <c r="G162" s="32"/>
      <c r="H162" s="32"/>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row>
    <row r="163" spans="1:44" ht="15">
      <c r="A163" s="37"/>
      <c r="B163" s="15"/>
      <c r="C163" s="37"/>
      <c r="D163" s="37"/>
      <c r="E163" s="37"/>
      <c r="F163" s="37"/>
      <c r="G163" s="32"/>
      <c r="H163" s="32"/>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row>
    <row r="164" spans="1:44" ht="15">
      <c r="A164" s="37"/>
      <c r="B164" s="15"/>
      <c r="C164" s="37"/>
      <c r="D164" s="37"/>
      <c r="E164" s="37"/>
      <c r="F164" s="37"/>
      <c r="G164" s="32"/>
      <c r="H164" s="32"/>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row>
    <row r="165" spans="1:44" ht="15">
      <c r="A165" s="37"/>
      <c r="B165" s="15"/>
      <c r="C165" s="37"/>
      <c r="D165" s="37"/>
      <c r="E165" s="37"/>
      <c r="F165" s="37"/>
      <c r="G165" s="32"/>
      <c r="H165" s="32"/>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row>
    <row r="166" spans="1:44" ht="15">
      <c r="A166" s="37"/>
      <c r="B166" s="15"/>
      <c r="C166" s="37"/>
      <c r="D166" s="37"/>
      <c r="E166" s="37"/>
      <c r="F166" s="37"/>
      <c r="G166" s="32"/>
      <c r="H166" s="32"/>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row>
    <row r="167" spans="1:44" ht="15">
      <c r="A167" s="37"/>
      <c r="B167" s="15"/>
      <c r="C167" s="37"/>
      <c r="D167" s="37"/>
      <c r="E167" s="37"/>
      <c r="F167" s="37"/>
      <c r="G167" s="32"/>
      <c r="H167" s="32"/>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row>
    <row r="168" spans="1:44" ht="15">
      <c r="A168" s="37"/>
      <c r="B168" s="15"/>
      <c r="C168" s="37"/>
      <c r="D168" s="37"/>
      <c r="E168" s="37"/>
      <c r="F168" s="37"/>
      <c r="G168" s="32"/>
      <c r="H168" s="32"/>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row>
    <row r="169" spans="1:44" ht="15">
      <c r="A169" s="37"/>
      <c r="B169" s="15"/>
      <c r="C169" s="37"/>
      <c r="D169" s="37"/>
      <c r="E169" s="37"/>
      <c r="F169" s="37"/>
      <c r="G169" s="32"/>
      <c r="H169" s="32"/>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row>
    <row r="170" spans="1:44" ht="15">
      <c r="A170" s="37"/>
      <c r="B170" s="15"/>
      <c r="C170" s="37"/>
      <c r="D170" s="37"/>
      <c r="E170" s="37"/>
      <c r="F170" s="37"/>
      <c r="G170" s="32"/>
      <c r="H170" s="32"/>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row>
    <row r="171" spans="1:44" ht="15">
      <c r="A171" s="37"/>
      <c r="B171" s="15"/>
      <c r="C171" s="37"/>
      <c r="D171" s="37"/>
      <c r="E171" s="37"/>
      <c r="F171" s="37"/>
      <c r="G171" s="32"/>
      <c r="H171" s="32"/>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row>
    <row r="172" spans="1:44" ht="15">
      <c r="A172" s="37"/>
      <c r="B172" s="15"/>
      <c r="C172" s="37"/>
      <c r="D172" s="37"/>
      <c r="E172" s="37"/>
      <c r="F172" s="37"/>
      <c r="G172" s="32"/>
      <c r="H172" s="32"/>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row>
    <row r="173" spans="1:44" ht="15">
      <c r="A173" s="37"/>
      <c r="B173" s="15"/>
      <c r="C173" s="37"/>
      <c r="D173" s="37"/>
      <c r="E173" s="37"/>
      <c r="F173" s="37"/>
      <c r="G173" s="32"/>
      <c r="H173" s="32"/>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row>
    <row r="174" spans="1:44" ht="15">
      <c r="A174" s="37"/>
      <c r="B174" s="15"/>
      <c r="C174" s="37"/>
      <c r="D174" s="37"/>
      <c r="E174" s="37"/>
      <c r="F174" s="37"/>
      <c r="G174" s="32"/>
      <c r="H174" s="32"/>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row>
    <row r="175" spans="1:44" ht="15">
      <c r="A175" s="37"/>
      <c r="B175" s="15"/>
      <c r="C175" s="37"/>
      <c r="D175" s="37"/>
      <c r="E175" s="37"/>
      <c r="F175" s="37"/>
      <c r="G175" s="32"/>
      <c r="H175" s="32"/>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row>
    <row r="176" spans="1:44" ht="15">
      <c r="A176" s="37"/>
      <c r="B176" s="15"/>
      <c r="C176" s="37"/>
      <c r="D176" s="37"/>
      <c r="E176" s="37"/>
      <c r="F176" s="37"/>
      <c r="G176" s="32"/>
      <c r="H176" s="32"/>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row>
    <row r="177" spans="1:44" ht="15">
      <c r="A177" s="37"/>
      <c r="B177" s="15"/>
      <c r="C177" s="37"/>
      <c r="D177" s="37"/>
      <c r="E177" s="37"/>
      <c r="F177" s="37"/>
      <c r="G177" s="32"/>
      <c r="H177" s="32"/>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row>
    <row r="178" spans="1:44" ht="15">
      <c r="A178" s="37"/>
      <c r="B178" s="15"/>
      <c r="C178" s="37"/>
      <c r="D178" s="37"/>
      <c r="E178" s="37"/>
      <c r="F178" s="37"/>
      <c r="G178" s="32"/>
      <c r="H178" s="32"/>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row>
    <row r="179" spans="1:44" ht="15">
      <c r="A179" s="37"/>
      <c r="B179" s="15"/>
      <c r="C179" s="37"/>
      <c r="D179" s="37"/>
      <c r="E179" s="37"/>
      <c r="F179" s="37"/>
      <c r="G179" s="32"/>
      <c r="H179" s="32"/>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row>
    <row r="180" spans="1:44" ht="15">
      <c r="A180" s="37"/>
      <c r="B180" s="15"/>
      <c r="C180" s="37"/>
      <c r="D180" s="37"/>
      <c r="E180" s="37"/>
      <c r="F180" s="37"/>
      <c r="G180" s="32"/>
      <c r="H180" s="32"/>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row>
    <row r="181" spans="1:44" ht="15">
      <c r="A181" s="37"/>
      <c r="B181" s="15"/>
      <c r="C181" s="37"/>
      <c r="D181" s="37"/>
      <c r="E181" s="37"/>
      <c r="F181" s="37"/>
      <c r="G181" s="32"/>
      <c r="H181" s="32"/>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row>
    <row r="182" spans="1:44" ht="15">
      <c r="A182" s="37"/>
      <c r="B182" s="15"/>
      <c r="C182" s="37"/>
      <c r="D182" s="37"/>
      <c r="E182" s="37"/>
      <c r="F182" s="37"/>
      <c r="G182" s="32"/>
      <c r="H182" s="32"/>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row>
    <row r="183" spans="1:44" ht="15">
      <c r="A183" s="37"/>
      <c r="B183" s="15"/>
      <c r="C183" s="37"/>
      <c r="D183" s="37"/>
      <c r="E183" s="37"/>
      <c r="F183" s="37"/>
      <c r="G183" s="32"/>
      <c r="H183" s="32"/>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row>
    <row r="184" spans="1:44" ht="15">
      <c r="A184" s="37"/>
      <c r="B184" s="15"/>
      <c r="C184" s="37"/>
      <c r="D184" s="37"/>
      <c r="E184" s="37"/>
      <c r="F184" s="37"/>
      <c r="G184" s="32"/>
      <c r="H184" s="32"/>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row>
    <row r="185" spans="1:44" ht="15">
      <c r="A185" s="37"/>
      <c r="B185" s="15"/>
      <c r="C185" s="37"/>
      <c r="D185" s="37"/>
      <c r="E185" s="37"/>
      <c r="F185" s="37"/>
      <c r="G185" s="32"/>
      <c r="H185" s="32"/>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row>
    <row r="186" spans="1:44" ht="15">
      <c r="A186" s="37"/>
      <c r="B186" s="15"/>
      <c r="C186" s="37"/>
      <c r="D186" s="37"/>
      <c r="E186" s="37"/>
      <c r="F186" s="37"/>
      <c r="G186" s="32"/>
      <c r="H186" s="32"/>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row>
    <row r="187" spans="1:44" ht="15">
      <c r="A187" s="37"/>
      <c r="B187" s="15"/>
      <c r="C187" s="37"/>
      <c r="D187" s="37"/>
      <c r="E187" s="37"/>
      <c r="F187" s="37"/>
      <c r="G187" s="32"/>
      <c r="H187" s="32"/>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row>
    <row r="188" spans="1:44" ht="15">
      <c r="A188" s="37"/>
      <c r="B188" s="15"/>
      <c r="C188" s="37"/>
      <c r="D188" s="37"/>
      <c r="E188" s="37"/>
      <c r="F188" s="37"/>
      <c r="G188" s="32"/>
      <c r="H188" s="32"/>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row>
    <row r="189" spans="1:44" ht="15">
      <c r="A189" s="37"/>
      <c r="B189" s="15"/>
      <c r="C189" s="37"/>
      <c r="D189" s="37"/>
      <c r="E189" s="37"/>
      <c r="F189" s="37"/>
      <c r="G189" s="32"/>
      <c r="H189" s="32"/>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row>
    <row r="190" spans="1:44" ht="15">
      <c r="A190" s="37"/>
      <c r="B190" s="15"/>
      <c r="C190" s="37"/>
      <c r="D190" s="37"/>
      <c r="E190" s="37"/>
      <c r="F190" s="37"/>
      <c r="G190" s="32"/>
      <c r="H190" s="32"/>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row>
    <row r="191" spans="1:44" ht="15">
      <c r="A191" s="37"/>
      <c r="B191" s="15"/>
      <c r="C191" s="37"/>
      <c r="D191" s="37"/>
      <c r="E191" s="37"/>
      <c r="F191" s="37"/>
      <c r="G191" s="32"/>
      <c r="H191" s="32"/>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row>
    <row r="192" spans="1:44" ht="15">
      <c r="A192" s="37"/>
      <c r="B192" s="15"/>
      <c r="C192" s="37"/>
      <c r="D192" s="37"/>
      <c r="E192" s="37"/>
      <c r="F192" s="37"/>
      <c r="G192" s="32"/>
      <c r="H192" s="32"/>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row>
    <row r="193" spans="1:44" ht="15">
      <c r="A193" s="37"/>
      <c r="B193" s="15"/>
      <c r="C193" s="37"/>
      <c r="D193" s="37"/>
      <c r="E193" s="37"/>
      <c r="F193" s="37"/>
      <c r="G193" s="32"/>
      <c r="H193" s="32"/>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row>
    <row r="194" spans="1:44" ht="15">
      <c r="A194" s="37"/>
      <c r="B194" s="15"/>
      <c r="C194" s="37"/>
      <c r="D194" s="37"/>
      <c r="E194" s="37"/>
      <c r="F194" s="37"/>
      <c r="G194" s="32"/>
      <c r="H194" s="32"/>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row>
    <row r="195" spans="1:44" ht="15">
      <c r="A195" s="37"/>
      <c r="B195" s="15"/>
      <c r="C195" s="37"/>
      <c r="D195" s="37"/>
      <c r="E195" s="37"/>
      <c r="F195" s="37"/>
      <c r="G195" s="32"/>
      <c r="H195" s="32"/>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row>
    <row r="196" spans="1:44" ht="15">
      <c r="A196" s="37"/>
      <c r="B196" s="15"/>
      <c r="C196" s="37"/>
      <c r="D196" s="37"/>
      <c r="E196" s="37"/>
      <c r="F196" s="37"/>
      <c r="G196" s="32"/>
      <c r="H196" s="32"/>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row>
    <row r="197" spans="1:44" ht="15">
      <c r="A197" s="37"/>
      <c r="B197" s="15"/>
      <c r="C197" s="37"/>
      <c r="D197" s="37"/>
      <c r="E197" s="37"/>
      <c r="F197" s="37"/>
      <c r="G197" s="32"/>
      <c r="H197" s="32"/>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row>
    <row r="198" spans="1:44" ht="15">
      <c r="A198" s="37"/>
      <c r="B198" s="15"/>
      <c r="C198" s="37"/>
      <c r="D198" s="37"/>
      <c r="E198" s="37"/>
      <c r="F198" s="37"/>
      <c r="G198" s="32"/>
      <c r="H198" s="32"/>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row>
    <row r="199" spans="1:44" ht="15">
      <c r="A199" s="37"/>
      <c r="B199" s="15"/>
      <c r="C199" s="37"/>
      <c r="D199" s="37"/>
      <c r="E199" s="37"/>
      <c r="F199" s="37"/>
      <c r="G199" s="32"/>
      <c r="H199" s="32"/>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row>
    <row r="200" spans="1:44" ht="15">
      <c r="A200" s="37"/>
      <c r="B200" s="15"/>
      <c r="C200" s="37"/>
      <c r="D200" s="37"/>
      <c r="E200" s="37"/>
      <c r="F200" s="37"/>
      <c r="G200" s="32"/>
      <c r="H200" s="32"/>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row>
    <row r="201" spans="1:44" ht="15">
      <c r="A201" s="37"/>
      <c r="B201" s="15"/>
      <c r="C201" s="37"/>
      <c r="D201" s="37"/>
      <c r="E201" s="37"/>
      <c r="F201" s="37"/>
      <c r="G201" s="32"/>
      <c r="H201" s="32"/>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row>
    <row r="202" spans="1:44" ht="15">
      <c r="A202" s="37"/>
      <c r="B202" s="15"/>
      <c r="C202" s="37"/>
      <c r="D202" s="37"/>
      <c r="E202" s="37"/>
      <c r="F202" s="37"/>
      <c r="G202" s="32"/>
      <c r="H202" s="32"/>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row>
    <row r="203" spans="1:44" ht="15">
      <c r="A203" s="37"/>
      <c r="B203" s="15"/>
      <c r="C203" s="37"/>
      <c r="D203" s="37"/>
      <c r="E203" s="37"/>
      <c r="F203" s="37"/>
      <c r="G203" s="32"/>
      <c r="H203" s="32"/>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row>
    <row r="204" spans="1:44" ht="15">
      <c r="A204" s="37"/>
      <c r="B204" s="15"/>
      <c r="C204" s="37"/>
      <c r="D204" s="37"/>
      <c r="E204" s="37"/>
      <c r="F204" s="37"/>
      <c r="G204" s="32"/>
      <c r="H204" s="32"/>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row>
    <row r="205" spans="1:44" ht="15">
      <c r="A205" s="37"/>
      <c r="B205" s="15"/>
      <c r="C205" s="37"/>
      <c r="D205" s="37"/>
      <c r="E205" s="37"/>
      <c r="F205" s="37"/>
      <c r="G205" s="32"/>
      <c r="H205" s="32"/>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row>
    <row r="206" spans="1:44" ht="15">
      <c r="A206" s="37"/>
      <c r="B206" s="15"/>
      <c r="C206" s="37"/>
      <c r="D206" s="37"/>
      <c r="E206" s="37"/>
      <c r="F206" s="37"/>
      <c r="G206" s="32"/>
      <c r="H206" s="32"/>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row>
    <row r="207" spans="1:44" ht="15">
      <c r="A207" s="37"/>
      <c r="B207" s="15"/>
      <c r="C207" s="37"/>
      <c r="D207" s="37"/>
      <c r="E207" s="37"/>
      <c r="F207" s="37"/>
      <c r="G207" s="32"/>
      <c r="H207" s="32"/>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row>
    <row r="208" spans="1:44" ht="15">
      <c r="A208" s="37"/>
      <c r="B208" s="15"/>
      <c r="C208" s="37"/>
      <c r="D208" s="37"/>
      <c r="E208" s="37"/>
      <c r="F208" s="37"/>
      <c r="G208" s="32"/>
      <c r="H208" s="32"/>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row>
    <row r="209" spans="1:44" ht="15">
      <c r="A209" s="37"/>
      <c r="B209" s="15"/>
      <c r="C209" s="37"/>
      <c r="D209" s="37"/>
      <c r="E209" s="37"/>
      <c r="F209" s="37"/>
      <c r="G209" s="32"/>
      <c r="H209" s="32"/>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row>
    <row r="210" spans="1:44" ht="15">
      <c r="A210" s="37"/>
      <c r="B210" s="15"/>
      <c r="C210" s="37"/>
      <c r="D210" s="37"/>
      <c r="E210" s="37"/>
      <c r="F210" s="37"/>
      <c r="G210" s="32"/>
      <c r="H210" s="32"/>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row>
    <row r="211" spans="1:44" ht="15">
      <c r="A211" s="37"/>
      <c r="B211" s="15"/>
      <c r="C211" s="37"/>
      <c r="D211" s="37"/>
      <c r="E211" s="37"/>
      <c r="F211" s="37"/>
      <c r="G211" s="32"/>
      <c r="H211" s="32"/>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row>
    <row r="212" spans="1:44" ht="15">
      <c r="A212" s="37"/>
      <c r="B212" s="15"/>
      <c r="C212" s="37"/>
      <c r="D212" s="37"/>
      <c r="E212" s="37"/>
      <c r="F212" s="37"/>
      <c r="G212" s="32"/>
      <c r="H212" s="32"/>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row>
    <row r="213" spans="1:44" ht="15">
      <c r="A213" s="37"/>
      <c r="B213" s="15"/>
      <c r="C213" s="37"/>
      <c r="D213" s="37"/>
      <c r="E213" s="37"/>
      <c r="F213" s="37"/>
      <c r="G213" s="32"/>
      <c r="H213" s="32"/>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row>
    <row r="214" spans="1:44" ht="15">
      <c r="A214" s="37"/>
      <c r="B214" s="15"/>
      <c r="C214" s="37"/>
      <c r="D214" s="37"/>
      <c r="E214" s="37"/>
      <c r="F214" s="37"/>
      <c r="G214" s="32"/>
      <c r="H214" s="32"/>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row>
    <row r="215" spans="1:44" ht="15">
      <c r="A215" s="37"/>
      <c r="B215" s="15"/>
      <c r="C215" s="37"/>
      <c r="D215" s="37"/>
      <c r="E215" s="37"/>
      <c r="F215" s="37"/>
      <c r="G215" s="32"/>
      <c r="H215" s="32"/>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row>
    <row r="216" spans="1:44" ht="15">
      <c r="A216" s="37"/>
      <c r="B216" s="15"/>
      <c r="C216" s="37"/>
      <c r="D216" s="37"/>
      <c r="E216" s="37"/>
      <c r="F216" s="37"/>
      <c r="G216" s="32"/>
      <c r="H216" s="32"/>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row>
    <row r="217" spans="1:44" ht="15">
      <c r="A217" s="37"/>
      <c r="B217" s="15"/>
      <c r="C217" s="37"/>
      <c r="D217" s="37"/>
      <c r="E217" s="37"/>
      <c r="F217" s="37"/>
      <c r="G217" s="32"/>
      <c r="H217" s="32"/>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row>
    <row r="218" spans="1:44" ht="15">
      <c r="A218" s="37"/>
      <c r="B218" s="15"/>
      <c r="C218" s="37"/>
      <c r="D218" s="37"/>
      <c r="E218" s="37"/>
      <c r="F218" s="37"/>
      <c r="G218" s="32"/>
      <c r="H218" s="32"/>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row>
    <row r="219" spans="1:44" ht="15">
      <c r="A219" s="37"/>
      <c r="B219" s="15"/>
      <c r="C219" s="37"/>
      <c r="D219" s="37"/>
      <c r="E219" s="37"/>
      <c r="F219" s="37"/>
      <c r="G219" s="32"/>
      <c r="H219" s="32"/>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row>
    <row r="220" spans="1:44" ht="15">
      <c r="A220" s="37"/>
      <c r="B220" s="15"/>
      <c r="C220" s="37"/>
      <c r="D220" s="37"/>
      <c r="E220" s="37"/>
      <c r="F220" s="37"/>
      <c r="G220" s="32"/>
      <c r="H220" s="32"/>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row>
    <row r="221" spans="1:44" ht="15">
      <c r="A221" s="37"/>
      <c r="B221" s="15"/>
      <c r="C221" s="37"/>
      <c r="D221" s="37"/>
      <c r="E221" s="37"/>
      <c r="F221" s="37"/>
      <c r="G221" s="32"/>
      <c r="H221" s="32"/>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row>
    <row r="222" spans="1:44" ht="15">
      <c r="A222" s="37"/>
      <c r="B222" s="15"/>
      <c r="C222" s="37"/>
      <c r="D222" s="37"/>
      <c r="E222" s="37"/>
      <c r="F222" s="37"/>
      <c r="G222" s="32"/>
      <c r="H222" s="32"/>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row>
    <row r="223" spans="1:44" ht="15">
      <c r="A223" s="37"/>
      <c r="B223" s="15"/>
      <c r="C223" s="37"/>
      <c r="D223" s="37"/>
      <c r="E223" s="37"/>
      <c r="F223" s="37"/>
      <c r="G223" s="32"/>
      <c r="H223" s="32"/>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row>
    <row r="224" spans="1:44" ht="15">
      <c r="A224" s="37"/>
      <c r="B224" s="15"/>
      <c r="C224" s="37"/>
      <c r="D224" s="37"/>
      <c r="E224" s="37"/>
      <c r="F224" s="37"/>
      <c r="G224" s="32"/>
      <c r="H224" s="32"/>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row>
    <row r="225" spans="1:44" ht="15">
      <c r="A225" s="37"/>
      <c r="B225" s="15"/>
      <c r="C225" s="37"/>
      <c r="D225" s="37"/>
      <c r="E225" s="37"/>
      <c r="F225" s="37"/>
      <c r="G225" s="32"/>
      <c r="H225" s="32"/>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row>
    <row r="226" spans="1:44" ht="15">
      <c r="A226" s="37"/>
      <c r="B226" s="15"/>
      <c r="C226" s="37"/>
      <c r="D226" s="37"/>
      <c r="E226" s="37"/>
      <c r="F226" s="37"/>
      <c r="G226" s="32"/>
      <c r="H226" s="32"/>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row>
    <row r="227" spans="1:44" ht="15">
      <c r="A227" s="37"/>
      <c r="B227" s="15"/>
      <c r="C227" s="37"/>
      <c r="D227" s="37"/>
      <c r="E227" s="37"/>
      <c r="F227" s="37"/>
      <c r="G227" s="32"/>
      <c r="H227" s="32"/>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row>
    <row r="228" spans="1:44" ht="15">
      <c r="A228" s="37"/>
      <c r="B228" s="15"/>
      <c r="C228" s="37"/>
      <c r="D228" s="37"/>
      <c r="E228" s="37"/>
      <c r="F228" s="37"/>
      <c r="G228" s="32"/>
      <c r="H228" s="32"/>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row>
    <row r="229" spans="1:44" ht="15">
      <c r="A229" s="37"/>
      <c r="B229" s="15"/>
      <c r="C229" s="37"/>
      <c r="D229" s="37"/>
      <c r="E229" s="37"/>
      <c r="F229" s="37"/>
      <c r="G229" s="32"/>
      <c r="H229" s="32"/>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row>
    <row r="230" spans="1:44" ht="15">
      <c r="A230" s="37"/>
      <c r="B230" s="15"/>
      <c r="C230" s="37"/>
      <c r="D230" s="37"/>
      <c r="E230" s="37"/>
      <c r="F230" s="37"/>
      <c r="G230" s="32"/>
      <c r="H230" s="32"/>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row>
    <row r="231" spans="1:44" ht="15">
      <c r="A231" s="37"/>
      <c r="B231" s="15"/>
      <c r="C231" s="37"/>
      <c r="D231" s="37"/>
      <c r="E231" s="37"/>
      <c r="F231" s="37"/>
      <c r="G231" s="32"/>
      <c r="H231" s="32"/>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row>
    <row r="232" spans="1:44" ht="15">
      <c r="A232" s="37"/>
      <c r="B232" s="15"/>
      <c r="C232" s="37"/>
      <c r="D232" s="37"/>
      <c r="E232" s="37"/>
      <c r="F232" s="37"/>
      <c r="G232" s="32"/>
      <c r="H232" s="32"/>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row>
    <row r="233" spans="1:44" ht="15">
      <c r="A233" s="37"/>
      <c r="B233" s="15"/>
      <c r="C233" s="37"/>
      <c r="D233" s="37"/>
      <c r="E233" s="37"/>
      <c r="F233" s="37"/>
      <c r="G233" s="32"/>
      <c r="H233" s="32"/>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row>
    <row r="234" spans="1:44" ht="15">
      <c r="A234" s="37"/>
      <c r="B234" s="15"/>
      <c r="C234" s="37"/>
      <c r="D234" s="37"/>
      <c r="E234" s="37"/>
      <c r="F234" s="37"/>
      <c r="G234" s="32"/>
      <c r="H234" s="32"/>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row>
    <row r="235" spans="1:44" ht="15">
      <c r="A235" s="37"/>
      <c r="B235" s="15"/>
      <c r="C235" s="37"/>
      <c r="D235" s="37"/>
      <c r="E235" s="37"/>
      <c r="F235" s="37"/>
      <c r="G235" s="32"/>
      <c r="H235" s="32"/>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row>
    <row r="236" spans="1:44" ht="15">
      <c r="A236" s="37"/>
      <c r="B236" s="15"/>
      <c r="C236" s="37"/>
      <c r="D236" s="37"/>
      <c r="E236" s="37"/>
      <c r="F236" s="37"/>
      <c r="G236" s="32"/>
      <c r="H236" s="32"/>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row>
    <row r="237" spans="1:44" ht="15">
      <c r="A237" s="37"/>
      <c r="B237" s="15"/>
      <c r="C237" s="37"/>
      <c r="D237" s="37"/>
      <c r="E237" s="37"/>
      <c r="F237" s="37"/>
      <c r="G237" s="32"/>
      <c r="H237" s="32"/>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row>
    <row r="238" spans="1:44" ht="15">
      <c r="A238" s="37"/>
      <c r="B238" s="15"/>
      <c r="C238" s="37"/>
      <c r="D238" s="37"/>
      <c r="E238" s="37"/>
      <c r="F238" s="37"/>
      <c r="G238" s="32"/>
      <c r="H238" s="32"/>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row>
    <row r="239" spans="1:44" ht="15">
      <c r="A239" s="37"/>
      <c r="B239" s="15"/>
      <c r="C239" s="37"/>
      <c r="D239" s="37"/>
      <c r="E239" s="37"/>
      <c r="F239" s="37"/>
      <c r="G239" s="32"/>
      <c r="H239" s="32"/>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row>
    <row r="240" spans="1:44" ht="15">
      <c r="A240" s="37"/>
      <c r="B240" s="15"/>
      <c r="C240" s="37"/>
      <c r="D240" s="37"/>
      <c r="E240" s="37"/>
      <c r="F240" s="37"/>
      <c r="G240" s="32"/>
      <c r="H240" s="32"/>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row>
    <row r="241" spans="1:44" ht="15">
      <c r="A241" s="37"/>
      <c r="B241" s="15"/>
      <c r="C241" s="37"/>
      <c r="D241" s="37"/>
      <c r="E241" s="37"/>
      <c r="F241" s="37"/>
      <c r="G241" s="32"/>
      <c r="H241" s="32"/>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row>
    <row r="242" spans="1:44" ht="15">
      <c r="A242" s="37"/>
      <c r="B242" s="15"/>
      <c r="C242" s="37"/>
      <c r="D242" s="37"/>
      <c r="E242" s="37"/>
      <c r="F242" s="37"/>
      <c r="G242" s="32"/>
      <c r="H242" s="32"/>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row>
    <row r="243" spans="1:44" ht="15">
      <c r="A243" s="37"/>
      <c r="B243" s="15"/>
      <c r="C243" s="37"/>
      <c r="D243" s="37"/>
      <c r="E243" s="37"/>
      <c r="F243" s="37"/>
      <c r="G243" s="32"/>
      <c r="H243" s="32"/>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row>
    <row r="244" spans="1:44" ht="15">
      <c r="A244" s="37"/>
      <c r="B244" s="15"/>
      <c r="C244" s="37"/>
      <c r="D244" s="37"/>
      <c r="E244" s="37"/>
      <c r="F244" s="37"/>
      <c r="G244" s="32"/>
      <c r="H244" s="32"/>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row>
    <row r="245" spans="1:44" ht="15">
      <c r="A245" s="37"/>
      <c r="B245" s="15"/>
      <c r="C245" s="37"/>
      <c r="D245" s="37"/>
      <c r="E245" s="37"/>
      <c r="F245" s="37"/>
      <c r="G245" s="32"/>
      <c r="H245" s="32"/>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row>
    <row r="246" spans="1:44" ht="15">
      <c r="A246" s="37"/>
      <c r="B246" s="15"/>
      <c r="C246" s="37"/>
      <c r="D246" s="37"/>
      <c r="E246" s="37"/>
      <c r="F246" s="37"/>
      <c r="G246" s="32"/>
      <c r="H246" s="32"/>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row>
    <row r="247" spans="1:44" ht="15">
      <c r="A247" s="37"/>
      <c r="B247" s="15"/>
      <c r="C247" s="37"/>
      <c r="D247" s="37"/>
      <c r="E247" s="37"/>
      <c r="F247" s="37"/>
      <c r="G247" s="32"/>
      <c r="H247" s="32"/>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row>
    <row r="248" spans="1:44" ht="15">
      <c r="A248" s="37"/>
      <c r="B248" s="15"/>
      <c r="C248" s="37"/>
      <c r="D248" s="37"/>
      <c r="E248" s="37"/>
      <c r="F248" s="37"/>
      <c r="G248" s="32"/>
      <c r="H248" s="32"/>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row>
    <row r="249" spans="1:44" ht="15">
      <c r="A249" s="37"/>
      <c r="B249" s="15"/>
      <c r="C249" s="37"/>
      <c r="D249" s="37"/>
      <c r="E249" s="37"/>
      <c r="F249" s="37"/>
      <c r="G249" s="32"/>
      <c r="H249" s="32"/>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row>
    <row r="250" spans="1:44" ht="15">
      <c r="A250" s="37"/>
      <c r="B250" s="15"/>
      <c r="C250" s="37"/>
      <c r="D250" s="37"/>
      <c r="E250" s="37"/>
      <c r="F250" s="37"/>
      <c r="G250" s="32"/>
      <c r="H250" s="32"/>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row>
    <row r="251" spans="1:44" ht="15">
      <c r="A251" s="37"/>
      <c r="B251" s="15"/>
      <c r="C251" s="37"/>
      <c r="D251" s="37"/>
      <c r="E251" s="37"/>
      <c r="F251" s="37"/>
      <c r="G251" s="32"/>
      <c r="H251" s="32"/>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row>
    <row r="252" spans="1:44" ht="15">
      <c r="A252" s="37"/>
      <c r="B252" s="15"/>
      <c r="C252" s="37"/>
      <c r="D252" s="37"/>
      <c r="E252" s="37"/>
      <c r="F252" s="37"/>
      <c r="G252" s="32"/>
      <c r="H252" s="32"/>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row>
    <row r="253" spans="1:44" ht="15">
      <c r="A253" s="37"/>
      <c r="B253" s="15"/>
      <c r="C253" s="37"/>
      <c r="D253" s="37"/>
      <c r="E253" s="37"/>
      <c r="F253" s="37"/>
      <c r="G253" s="32"/>
      <c r="H253" s="32"/>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row>
    <row r="254" spans="1:44" ht="15">
      <c r="A254" s="37"/>
      <c r="B254" s="15"/>
      <c r="C254" s="37"/>
      <c r="D254" s="37"/>
      <c r="E254" s="37"/>
      <c r="F254" s="37"/>
      <c r="G254" s="32"/>
      <c r="H254" s="32"/>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row>
    <row r="255" spans="1:44" ht="15">
      <c r="A255" s="37"/>
      <c r="B255" s="15"/>
      <c r="C255" s="37"/>
      <c r="D255" s="37"/>
      <c r="E255" s="37"/>
      <c r="F255" s="37"/>
      <c r="G255" s="32"/>
      <c r="H255" s="32"/>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row>
    <row r="256" spans="1:44" ht="15">
      <c r="A256" s="37"/>
      <c r="B256" s="15"/>
      <c r="C256" s="37"/>
      <c r="D256" s="37"/>
      <c r="E256" s="37"/>
      <c r="F256" s="37"/>
      <c r="G256" s="32"/>
      <c r="H256" s="32"/>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row>
    <row r="257" spans="1:44" ht="15">
      <c r="A257" s="37"/>
      <c r="B257" s="15"/>
      <c r="C257" s="37"/>
      <c r="D257" s="37"/>
      <c r="E257" s="37"/>
      <c r="F257" s="37"/>
      <c r="G257" s="32"/>
      <c r="H257" s="32"/>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row>
    <row r="258" spans="1:44" ht="15">
      <c r="A258" s="37"/>
      <c r="B258" s="15"/>
      <c r="C258" s="37"/>
      <c r="D258" s="37"/>
      <c r="E258" s="37"/>
      <c r="F258" s="37"/>
      <c r="G258" s="32"/>
      <c r="H258" s="32"/>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row>
    <row r="259" spans="1:44" ht="15">
      <c r="A259" s="37"/>
      <c r="B259" s="15"/>
      <c r="C259" s="37"/>
      <c r="D259" s="37"/>
      <c r="E259" s="37"/>
      <c r="F259" s="37"/>
      <c r="G259" s="32"/>
      <c r="H259" s="32"/>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row>
    <row r="260" spans="1:44" ht="15">
      <c r="A260" s="37"/>
      <c r="B260" s="15"/>
      <c r="C260" s="37"/>
      <c r="D260" s="37"/>
      <c r="E260" s="37"/>
      <c r="F260" s="37"/>
      <c r="G260" s="32"/>
      <c r="H260" s="32"/>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row>
    <row r="261" spans="1:44" ht="15">
      <c r="A261" s="37"/>
      <c r="B261" s="15"/>
      <c r="C261" s="37"/>
      <c r="D261" s="37"/>
      <c r="E261" s="37"/>
      <c r="F261" s="37"/>
      <c r="G261" s="32"/>
      <c r="H261" s="32"/>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row>
    <row r="262" spans="1:44" ht="15">
      <c r="A262" s="37"/>
      <c r="B262" s="15"/>
      <c r="C262" s="37"/>
      <c r="D262" s="37"/>
      <c r="E262" s="37"/>
      <c r="F262" s="37"/>
      <c r="G262" s="32"/>
      <c r="H262" s="32"/>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row>
    <row r="263" spans="1:44" ht="15">
      <c r="A263" s="37"/>
      <c r="B263" s="15"/>
      <c r="C263" s="37"/>
      <c r="D263" s="37"/>
      <c r="E263" s="37"/>
      <c r="F263" s="37"/>
      <c r="G263" s="32"/>
      <c r="H263" s="32"/>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row>
    <row r="264" spans="1:44" ht="15">
      <c r="A264" s="37"/>
      <c r="B264" s="15"/>
      <c r="C264" s="37"/>
      <c r="D264" s="37"/>
      <c r="E264" s="37"/>
      <c r="F264" s="37"/>
      <c r="G264" s="32"/>
      <c r="H264" s="32"/>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row>
    <row r="265" spans="1:44" ht="15">
      <c r="A265" s="37"/>
      <c r="B265" s="15"/>
      <c r="C265" s="37"/>
      <c r="D265" s="37"/>
      <c r="E265" s="37"/>
      <c r="F265" s="37"/>
      <c r="G265" s="32"/>
      <c r="H265" s="32"/>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row>
    <row r="266" spans="1:44" ht="15">
      <c r="A266" s="37"/>
      <c r="B266" s="15"/>
      <c r="C266" s="37"/>
      <c r="D266" s="37"/>
      <c r="E266" s="37"/>
      <c r="F266" s="37"/>
      <c r="G266" s="32"/>
      <c r="H266" s="32"/>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row>
    <row r="267" spans="1:44" ht="15">
      <c r="A267" s="37"/>
      <c r="B267" s="15"/>
      <c r="C267" s="37"/>
      <c r="D267" s="37"/>
      <c r="E267" s="37"/>
      <c r="F267" s="37"/>
      <c r="G267" s="32"/>
      <c r="H267" s="32"/>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row>
    <row r="268" spans="1:44" ht="15">
      <c r="A268" s="37"/>
      <c r="B268" s="15"/>
      <c r="C268" s="37"/>
      <c r="D268" s="37"/>
      <c r="E268" s="37"/>
      <c r="F268" s="37"/>
      <c r="G268" s="32"/>
      <c r="H268" s="32"/>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row>
    <row r="269" spans="1:44" ht="15">
      <c r="A269" s="37"/>
      <c r="B269" s="15"/>
      <c r="C269" s="37"/>
      <c r="D269" s="37"/>
      <c r="E269" s="37"/>
      <c r="F269" s="37"/>
      <c r="G269" s="32"/>
      <c r="H269" s="32"/>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row>
    <row r="270" spans="1:44" ht="15">
      <c r="A270" s="37"/>
      <c r="B270" s="15"/>
      <c r="C270" s="37"/>
      <c r="D270" s="37"/>
      <c r="E270" s="37"/>
      <c r="F270" s="37"/>
      <c r="G270" s="32"/>
      <c r="H270" s="32"/>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row>
    <row r="271" spans="1:44" ht="15">
      <c r="A271" s="37"/>
      <c r="B271" s="15"/>
      <c r="C271" s="37"/>
      <c r="D271" s="37"/>
      <c r="E271" s="37"/>
      <c r="F271" s="37"/>
      <c r="G271" s="32"/>
      <c r="H271" s="32"/>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row>
    <row r="272" spans="1:44" ht="15">
      <c r="A272" s="37"/>
      <c r="B272" s="15"/>
      <c r="C272" s="37"/>
      <c r="D272" s="37"/>
      <c r="E272" s="37"/>
      <c r="F272" s="37"/>
      <c r="G272" s="32"/>
      <c r="H272" s="32"/>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row>
    <row r="273" spans="1:44" ht="15">
      <c r="A273" s="37"/>
      <c r="B273" s="15"/>
      <c r="C273" s="37"/>
      <c r="D273" s="37"/>
      <c r="E273" s="37"/>
      <c r="F273" s="37"/>
      <c r="G273" s="32"/>
      <c r="H273" s="32"/>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row>
    <row r="274" spans="1:44" ht="15">
      <c r="A274" s="37"/>
      <c r="B274" s="15"/>
      <c r="C274" s="37"/>
      <c r="D274" s="37"/>
      <c r="E274" s="37"/>
      <c r="F274" s="37"/>
      <c r="G274" s="32"/>
      <c r="H274" s="32"/>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row>
    <row r="275" spans="1:44" ht="15">
      <c r="A275" s="37"/>
      <c r="B275" s="15"/>
      <c r="C275" s="37"/>
      <c r="D275" s="37"/>
      <c r="E275" s="37"/>
      <c r="F275" s="37"/>
      <c r="G275" s="32"/>
      <c r="H275" s="32"/>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row>
    <row r="276" spans="1:44" ht="15">
      <c r="A276" s="37"/>
      <c r="B276" s="15"/>
      <c r="C276" s="37"/>
      <c r="D276" s="37"/>
      <c r="E276" s="37"/>
      <c r="F276" s="37"/>
      <c r="G276" s="32"/>
      <c r="H276" s="32"/>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row>
    <row r="277" spans="1:44" ht="15">
      <c r="A277" s="37"/>
      <c r="B277" s="15"/>
      <c r="C277" s="37"/>
      <c r="D277" s="37"/>
      <c r="E277" s="37"/>
      <c r="F277" s="37"/>
      <c r="G277" s="32"/>
      <c r="H277" s="32"/>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row>
    <row r="278" spans="1:44" ht="15">
      <c r="A278" s="37"/>
      <c r="B278" s="15"/>
      <c r="C278" s="37"/>
      <c r="D278" s="37"/>
      <c r="E278" s="37"/>
      <c r="F278" s="37"/>
      <c r="G278" s="32"/>
      <c r="H278" s="32"/>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row>
    <row r="279" spans="1:44" ht="15">
      <c r="A279" s="37"/>
      <c r="B279" s="15"/>
      <c r="C279" s="37"/>
      <c r="D279" s="37"/>
      <c r="E279" s="37"/>
      <c r="F279" s="37"/>
      <c r="G279" s="32"/>
      <c r="H279" s="32"/>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row>
    <row r="280" spans="1:44" ht="15">
      <c r="A280" s="37"/>
      <c r="B280" s="15"/>
      <c r="C280" s="37"/>
      <c r="D280" s="37"/>
      <c r="E280" s="37"/>
      <c r="F280" s="37"/>
      <c r="G280" s="32"/>
      <c r="H280" s="32"/>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row>
    <row r="281" spans="1:44" ht="15">
      <c r="A281" s="37"/>
      <c r="B281" s="15"/>
      <c r="C281" s="37"/>
      <c r="D281" s="37"/>
      <c r="E281" s="37"/>
      <c r="F281" s="37"/>
      <c r="G281" s="32"/>
      <c r="H281" s="32"/>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row>
    <row r="282" spans="1:44" ht="15">
      <c r="A282" s="37"/>
      <c r="B282" s="15"/>
      <c r="C282" s="37"/>
      <c r="D282" s="37"/>
      <c r="E282" s="37"/>
      <c r="F282" s="37"/>
      <c r="G282" s="32"/>
      <c r="H282" s="32"/>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row>
    <row r="283" spans="1:44" ht="15">
      <c r="A283" s="37"/>
      <c r="B283" s="15"/>
      <c r="C283" s="37"/>
      <c r="D283" s="37"/>
      <c r="E283" s="37"/>
      <c r="F283" s="37"/>
      <c r="G283" s="32"/>
      <c r="H283" s="32"/>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row>
    <row r="284" spans="1:44" ht="15">
      <c r="A284" s="37"/>
      <c r="B284" s="15"/>
      <c r="C284" s="37"/>
      <c r="D284" s="37"/>
      <c r="E284" s="37"/>
      <c r="F284" s="37"/>
      <c r="G284" s="32"/>
      <c r="H284" s="32"/>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row>
    <row r="285" spans="1:44" ht="15">
      <c r="A285" s="37"/>
      <c r="B285" s="15"/>
      <c r="C285" s="37"/>
      <c r="D285" s="37"/>
      <c r="E285" s="37"/>
      <c r="F285" s="37"/>
      <c r="G285" s="32"/>
      <c r="H285" s="32"/>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row>
    <row r="286" spans="1:44" ht="15">
      <c r="A286" s="37"/>
      <c r="B286" s="15"/>
      <c r="C286" s="37"/>
      <c r="D286" s="37"/>
      <c r="E286" s="37"/>
      <c r="F286" s="37"/>
      <c r="G286" s="32"/>
      <c r="H286" s="32"/>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row>
    <row r="287" spans="1:44" ht="15">
      <c r="A287" s="37"/>
      <c r="B287" s="15"/>
      <c r="C287" s="37"/>
      <c r="D287" s="37"/>
      <c r="E287" s="37"/>
      <c r="F287" s="37"/>
      <c r="G287" s="32"/>
      <c r="H287" s="32"/>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row>
    <row r="288" spans="1:44" ht="15">
      <c r="A288" s="37"/>
      <c r="B288" s="15"/>
      <c r="C288" s="37"/>
      <c r="D288" s="37"/>
      <c r="E288" s="37"/>
      <c r="F288" s="37"/>
      <c r="G288" s="32"/>
      <c r="H288" s="32"/>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row>
    <row r="289" spans="1:44" ht="15">
      <c r="A289" s="37"/>
      <c r="B289" s="15"/>
      <c r="C289" s="37"/>
      <c r="D289" s="37"/>
      <c r="E289" s="37"/>
      <c r="F289" s="37"/>
      <c r="G289" s="32"/>
      <c r="H289" s="32"/>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row>
    <row r="290" spans="1:44" ht="15">
      <c r="A290" s="37"/>
      <c r="B290" s="15"/>
      <c r="C290" s="37"/>
      <c r="D290" s="37"/>
      <c r="E290" s="37"/>
      <c r="F290" s="37"/>
      <c r="G290" s="32"/>
      <c r="H290" s="32"/>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row>
    <row r="291" spans="1:44" ht="15">
      <c r="A291" s="37"/>
      <c r="B291" s="15"/>
      <c r="C291" s="37"/>
      <c r="D291" s="37"/>
      <c r="E291" s="37"/>
      <c r="F291" s="37"/>
      <c r="G291" s="32"/>
      <c r="H291" s="32"/>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row>
    <row r="292" spans="1:44" ht="15">
      <c r="A292" s="37"/>
      <c r="B292" s="15"/>
      <c r="C292" s="37"/>
      <c r="D292" s="37"/>
      <c r="E292" s="37"/>
      <c r="F292" s="37"/>
      <c r="G292" s="32"/>
      <c r="H292" s="32"/>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row>
    <row r="293" spans="1:44" ht="15">
      <c r="A293" s="37"/>
      <c r="B293" s="15"/>
      <c r="C293" s="37"/>
      <c r="D293" s="37"/>
      <c r="E293" s="37"/>
      <c r="F293" s="37"/>
      <c r="G293" s="32"/>
      <c r="H293" s="32"/>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row>
    <row r="294" spans="1:44" ht="15">
      <c r="A294" s="37"/>
      <c r="B294" s="15"/>
      <c r="C294" s="37"/>
      <c r="D294" s="37"/>
      <c r="E294" s="37"/>
      <c r="F294" s="37"/>
      <c r="G294" s="32"/>
      <c r="H294" s="32"/>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row>
    <row r="295" spans="1:44" ht="15">
      <c r="A295" s="37"/>
      <c r="B295" s="15"/>
      <c r="C295" s="37"/>
      <c r="D295" s="37"/>
      <c r="E295" s="37"/>
      <c r="F295" s="37"/>
      <c r="G295" s="32"/>
      <c r="H295" s="32"/>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row>
    <row r="296" spans="1:44" ht="15">
      <c r="A296" s="37"/>
      <c r="B296" s="15"/>
      <c r="C296" s="37"/>
      <c r="D296" s="37"/>
      <c r="E296" s="37"/>
      <c r="F296" s="37"/>
      <c r="G296" s="32"/>
      <c r="H296" s="32"/>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row>
    <row r="297" spans="1:44" ht="15">
      <c r="A297" s="37"/>
      <c r="B297" s="15"/>
      <c r="C297" s="37"/>
      <c r="D297" s="37"/>
      <c r="E297" s="37"/>
      <c r="F297" s="37"/>
      <c r="G297" s="32"/>
      <c r="H297" s="32"/>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row>
    <row r="298" spans="1:44" ht="15">
      <c r="A298" s="37"/>
      <c r="B298" s="15"/>
      <c r="C298" s="37"/>
      <c r="D298" s="37"/>
      <c r="E298" s="37"/>
      <c r="F298" s="37"/>
      <c r="G298" s="32"/>
      <c r="H298" s="32"/>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row>
    <row r="299" spans="1:44" ht="15">
      <c r="A299" s="37"/>
      <c r="B299" s="15"/>
      <c r="C299" s="37"/>
      <c r="D299" s="37"/>
      <c r="E299" s="37"/>
      <c r="F299" s="37"/>
      <c r="G299" s="32"/>
      <c r="H299" s="32"/>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row>
    <row r="300" spans="1:44" ht="15">
      <c r="A300" s="37"/>
      <c r="B300" s="15"/>
      <c r="C300" s="37"/>
      <c r="D300" s="37"/>
      <c r="E300" s="37"/>
      <c r="F300" s="37"/>
      <c r="G300" s="32"/>
      <c r="H300" s="32"/>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row>
    <row r="301" spans="1:44" ht="15">
      <c r="A301" s="37"/>
      <c r="B301" s="15"/>
      <c r="C301" s="37"/>
      <c r="D301" s="37"/>
      <c r="E301" s="37"/>
      <c r="F301" s="37"/>
      <c r="G301" s="32"/>
      <c r="H301" s="32"/>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row>
    <row r="302" spans="1:44" ht="15">
      <c r="A302" s="37"/>
      <c r="B302" s="15"/>
      <c r="C302" s="37"/>
      <c r="D302" s="37"/>
      <c r="E302" s="37"/>
      <c r="F302" s="37"/>
      <c r="G302" s="32"/>
      <c r="H302" s="32"/>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row>
    <row r="303" spans="1:44" ht="15">
      <c r="A303" s="37"/>
      <c r="B303" s="15"/>
      <c r="C303" s="37"/>
      <c r="D303" s="37"/>
      <c r="E303" s="37"/>
      <c r="F303" s="37"/>
      <c r="G303" s="32"/>
      <c r="H303" s="32"/>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row>
    <row r="304" spans="1:44" ht="15">
      <c r="A304" s="37"/>
      <c r="B304" s="15"/>
      <c r="C304" s="37"/>
      <c r="D304" s="37"/>
      <c r="E304" s="37"/>
      <c r="F304" s="37"/>
      <c r="G304" s="32"/>
      <c r="H304" s="32"/>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row>
    <row r="305" spans="1:44" ht="15">
      <c r="A305" s="37"/>
      <c r="B305" s="15"/>
      <c r="C305" s="37"/>
      <c r="D305" s="37"/>
      <c r="E305" s="37"/>
      <c r="F305" s="37"/>
      <c r="G305" s="32"/>
      <c r="H305" s="32"/>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row>
    <row r="306" spans="1:44" ht="15">
      <c r="A306" s="37"/>
      <c r="B306" s="15"/>
      <c r="C306" s="37"/>
      <c r="D306" s="37"/>
      <c r="E306" s="37"/>
      <c r="F306" s="37"/>
      <c r="G306" s="32"/>
      <c r="H306" s="32"/>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row>
    <row r="307" spans="1:44" ht="15">
      <c r="A307" s="37"/>
      <c r="B307" s="15"/>
      <c r="C307" s="37"/>
      <c r="D307" s="37"/>
      <c r="E307" s="37"/>
      <c r="F307" s="37"/>
      <c r="G307" s="32"/>
      <c r="H307" s="32"/>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row>
    <row r="308" spans="1:44" ht="15">
      <c r="A308" s="37"/>
      <c r="B308" s="15"/>
      <c r="C308" s="37"/>
      <c r="D308" s="37"/>
      <c r="E308" s="37"/>
      <c r="F308" s="37"/>
      <c r="G308" s="32"/>
      <c r="H308" s="32"/>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row>
    <row r="309" spans="1:44" ht="15">
      <c r="A309" s="37"/>
      <c r="B309" s="15"/>
      <c r="C309" s="37"/>
      <c r="D309" s="37"/>
      <c r="E309" s="37"/>
      <c r="F309" s="37"/>
      <c r="G309" s="32"/>
      <c r="H309" s="32"/>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row>
    <row r="310" spans="1:44" ht="15">
      <c r="A310" s="37"/>
      <c r="B310" s="15"/>
      <c r="C310" s="37"/>
      <c r="D310" s="37"/>
      <c r="E310" s="37"/>
      <c r="F310" s="37"/>
      <c r="G310" s="32"/>
      <c r="H310" s="32"/>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row>
    <row r="311" spans="1:44" ht="15">
      <c r="A311" s="37"/>
      <c r="B311" s="15"/>
      <c r="C311" s="37"/>
      <c r="D311" s="37"/>
      <c r="E311" s="37"/>
      <c r="F311" s="37"/>
      <c r="G311" s="32"/>
      <c r="H311" s="32"/>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row>
    <row r="312" spans="1:44" ht="15">
      <c r="A312" s="37"/>
      <c r="B312" s="15"/>
      <c r="C312" s="37"/>
      <c r="D312" s="37"/>
      <c r="E312" s="37"/>
      <c r="F312" s="37"/>
      <c r="G312" s="32"/>
      <c r="H312" s="32"/>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row>
    <row r="313" spans="1:44" ht="15">
      <c r="A313" s="37"/>
      <c r="B313" s="15"/>
      <c r="C313" s="37"/>
      <c r="D313" s="37"/>
      <c r="E313" s="37"/>
      <c r="F313" s="37"/>
      <c r="G313" s="32"/>
      <c r="H313" s="32"/>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row>
    <row r="314" spans="1:44" ht="15">
      <c r="A314" s="37"/>
      <c r="B314" s="15"/>
      <c r="C314" s="37"/>
      <c r="D314" s="37"/>
      <c r="E314" s="37"/>
      <c r="F314" s="37"/>
      <c r="G314" s="32"/>
      <c r="H314" s="32"/>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row>
    <row r="315" spans="1:44" ht="15">
      <c r="A315" s="37"/>
      <c r="B315" s="15"/>
      <c r="C315" s="37"/>
      <c r="D315" s="37"/>
      <c r="E315" s="37"/>
      <c r="F315" s="37"/>
      <c r="G315" s="32"/>
      <c r="H315" s="32"/>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row>
    <row r="316" spans="1:44" ht="15">
      <c r="A316" s="37"/>
      <c r="B316" s="15"/>
      <c r="C316" s="37"/>
      <c r="D316" s="37"/>
      <c r="E316" s="37"/>
      <c r="F316" s="37"/>
      <c r="G316" s="32"/>
      <c r="H316" s="32"/>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row>
    <row r="317" spans="1:44" ht="15">
      <c r="A317" s="37"/>
      <c r="B317" s="15"/>
      <c r="C317" s="37"/>
      <c r="D317" s="37"/>
      <c r="E317" s="37"/>
      <c r="F317" s="37"/>
      <c r="G317" s="32"/>
      <c r="H317" s="32"/>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row>
    <row r="318" spans="1:44" ht="15">
      <c r="A318" s="37"/>
      <c r="B318" s="15"/>
      <c r="C318" s="37"/>
      <c r="D318" s="37"/>
      <c r="E318" s="37"/>
      <c r="F318" s="37"/>
      <c r="G318" s="32"/>
      <c r="H318" s="32"/>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row>
    <row r="319" spans="1:44" ht="15">
      <c r="A319" s="37"/>
      <c r="B319" s="15"/>
      <c r="C319" s="37"/>
      <c r="D319" s="37"/>
      <c r="E319" s="37"/>
      <c r="F319" s="37"/>
      <c r="G319" s="32"/>
      <c r="H319" s="32"/>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row>
    <row r="320" spans="1:44" ht="15">
      <c r="A320" s="37"/>
      <c r="B320" s="15"/>
      <c r="C320" s="37"/>
      <c r="D320" s="37"/>
      <c r="E320" s="37"/>
      <c r="F320" s="37"/>
      <c r="G320" s="32"/>
      <c r="H320" s="32"/>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row>
    <row r="321" spans="1:44" ht="15">
      <c r="A321" s="37"/>
      <c r="B321" s="15"/>
      <c r="C321" s="37"/>
      <c r="D321" s="37"/>
      <c r="E321" s="37"/>
      <c r="F321" s="37"/>
      <c r="G321" s="32"/>
      <c r="H321" s="32"/>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row>
    <row r="322" spans="1:44" ht="15">
      <c r="A322" s="37"/>
      <c r="B322" s="15"/>
      <c r="C322" s="37"/>
      <c r="D322" s="37"/>
      <c r="E322" s="37"/>
      <c r="F322" s="37"/>
      <c r="G322" s="32"/>
      <c r="H322" s="32"/>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row>
    <row r="323" spans="1:44" ht="15">
      <c r="A323" s="37"/>
      <c r="B323" s="15"/>
      <c r="C323" s="37"/>
      <c r="D323" s="37"/>
      <c r="E323" s="37"/>
      <c r="F323" s="37"/>
      <c r="G323" s="32"/>
      <c r="H323" s="32"/>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row>
    <row r="324" spans="1:44" ht="15">
      <c r="A324" s="37"/>
      <c r="B324" s="15"/>
      <c r="C324" s="37"/>
      <c r="D324" s="37"/>
      <c r="E324" s="37"/>
      <c r="F324" s="37"/>
      <c r="G324" s="32"/>
      <c r="H324" s="32"/>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row>
    <row r="325" spans="1:44" ht="15">
      <c r="A325" s="37"/>
      <c r="B325" s="15"/>
      <c r="C325" s="37"/>
      <c r="D325" s="37"/>
      <c r="E325" s="37"/>
      <c r="F325" s="37"/>
      <c r="G325" s="32"/>
      <c r="H325" s="32"/>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row>
    <row r="326" spans="1:44" ht="15">
      <c r="A326" s="37"/>
      <c r="B326" s="15"/>
      <c r="C326" s="37"/>
      <c r="D326" s="37"/>
      <c r="E326" s="37"/>
      <c r="F326" s="37"/>
      <c r="G326" s="32"/>
      <c r="H326" s="32"/>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row>
    <row r="327" spans="1:44" ht="15">
      <c r="A327" s="37"/>
      <c r="B327" s="15"/>
      <c r="C327" s="37"/>
      <c r="D327" s="37"/>
      <c r="E327" s="37"/>
      <c r="F327" s="37"/>
      <c r="G327" s="32"/>
      <c r="H327" s="32"/>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row>
    <row r="328" spans="1:44" ht="15">
      <c r="A328" s="37"/>
      <c r="B328" s="15"/>
      <c r="C328" s="37"/>
      <c r="D328" s="37"/>
      <c r="E328" s="37"/>
      <c r="F328" s="37"/>
      <c r="G328" s="32"/>
      <c r="H328" s="32"/>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row>
    <row r="329" spans="1:44" ht="15">
      <c r="A329" s="37"/>
      <c r="B329" s="15"/>
      <c r="C329" s="37"/>
      <c r="D329" s="37"/>
      <c r="E329" s="37"/>
      <c r="F329" s="37"/>
      <c r="G329" s="32"/>
      <c r="H329" s="32"/>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row>
    <row r="330" spans="1:44" ht="15">
      <c r="A330" s="37"/>
      <c r="B330" s="15"/>
      <c r="C330" s="37"/>
      <c r="D330" s="37"/>
      <c r="E330" s="37"/>
      <c r="F330" s="37"/>
      <c r="G330" s="32"/>
      <c r="H330" s="32"/>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row>
    <row r="331" spans="1:44" ht="15">
      <c r="A331" s="37"/>
      <c r="B331" s="15"/>
      <c r="C331" s="37"/>
      <c r="D331" s="37"/>
      <c r="E331" s="37"/>
      <c r="F331" s="37"/>
      <c r="G331" s="32"/>
      <c r="H331" s="32"/>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row>
    <row r="332" spans="1:44" ht="15">
      <c r="A332" s="37"/>
      <c r="B332" s="15"/>
      <c r="C332" s="37"/>
      <c r="D332" s="37"/>
      <c r="E332" s="37"/>
      <c r="F332" s="37"/>
      <c r="G332" s="32"/>
      <c r="H332" s="32"/>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row>
    <row r="333" spans="1:44" ht="15">
      <c r="A333" s="37"/>
      <c r="B333" s="15"/>
      <c r="C333" s="37"/>
      <c r="D333" s="37"/>
      <c r="E333" s="37"/>
      <c r="F333" s="37"/>
      <c r="G333" s="32"/>
      <c r="H333" s="32"/>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row>
    <row r="334" spans="1:44" ht="15">
      <c r="A334" s="37"/>
      <c r="B334" s="15"/>
      <c r="C334" s="37"/>
      <c r="D334" s="37"/>
      <c r="E334" s="37"/>
      <c r="F334" s="37"/>
      <c r="G334" s="32"/>
      <c r="H334" s="32"/>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row>
    <row r="335" spans="1:44" ht="15">
      <c r="A335" s="37"/>
      <c r="B335" s="15"/>
      <c r="C335" s="37"/>
      <c r="D335" s="37"/>
      <c r="E335" s="37"/>
      <c r="F335" s="37"/>
      <c r="G335" s="32"/>
      <c r="H335" s="32"/>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row>
    <row r="336" spans="1:44" ht="15">
      <c r="A336" s="37"/>
      <c r="B336" s="15"/>
      <c r="C336" s="37"/>
      <c r="D336" s="37"/>
      <c r="E336" s="37"/>
      <c r="F336" s="37"/>
      <c r="G336" s="32"/>
      <c r="H336" s="32"/>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row>
    <row r="337" spans="1:44" ht="15">
      <c r="A337" s="37"/>
      <c r="B337" s="15"/>
      <c r="C337" s="37"/>
      <c r="D337" s="37"/>
      <c r="E337" s="37"/>
      <c r="F337" s="37"/>
      <c r="G337" s="32"/>
      <c r="H337" s="32"/>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row>
    <row r="338" spans="1:44" ht="15">
      <c r="A338" s="37"/>
      <c r="B338" s="15"/>
      <c r="C338" s="37"/>
      <c r="D338" s="37"/>
      <c r="E338" s="37"/>
      <c r="F338" s="37"/>
      <c r="G338" s="32"/>
      <c r="H338" s="32"/>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row>
    <row r="339" spans="1:44" ht="15">
      <c r="A339" s="37"/>
      <c r="B339" s="15"/>
      <c r="C339" s="37"/>
      <c r="D339" s="37"/>
      <c r="E339" s="37"/>
      <c r="F339" s="37"/>
      <c r="G339" s="32"/>
      <c r="H339" s="32"/>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row>
    <row r="340" spans="1:44" ht="15">
      <c r="A340" s="37"/>
      <c r="B340" s="15"/>
      <c r="C340" s="37"/>
      <c r="D340" s="37"/>
      <c r="E340" s="37"/>
      <c r="F340" s="37"/>
      <c r="G340" s="32"/>
      <c r="H340" s="32"/>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row>
    <row r="341" spans="1:44" ht="15">
      <c r="A341" s="37"/>
      <c r="B341" s="15"/>
      <c r="C341" s="37"/>
      <c r="D341" s="37"/>
      <c r="E341" s="37"/>
      <c r="F341" s="37"/>
      <c r="G341" s="32"/>
      <c r="H341" s="32"/>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row>
    <row r="342" spans="1:44" ht="15">
      <c r="A342" s="37"/>
      <c r="B342" s="15"/>
      <c r="C342" s="37"/>
      <c r="D342" s="37"/>
      <c r="E342" s="37"/>
      <c r="F342" s="37"/>
      <c r="G342" s="32"/>
      <c r="H342" s="32"/>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row>
    <row r="343" spans="1:44" ht="15">
      <c r="A343" s="37"/>
      <c r="B343" s="15"/>
      <c r="C343" s="37"/>
      <c r="D343" s="37"/>
      <c r="E343" s="37"/>
      <c r="F343" s="37"/>
      <c r="G343" s="32"/>
      <c r="H343" s="32"/>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row>
    <row r="344" spans="1:44" ht="15">
      <c r="A344" s="37"/>
      <c r="B344" s="15"/>
      <c r="C344" s="37"/>
      <c r="D344" s="37"/>
      <c r="E344" s="37"/>
      <c r="F344" s="37"/>
      <c r="G344" s="32"/>
      <c r="H344" s="32"/>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row>
    <row r="345" spans="1:44" ht="15">
      <c r="A345" s="37"/>
      <c r="B345" s="15"/>
      <c r="C345" s="37"/>
      <c r="D345" s="37"/>
      <c r="E345" s="37"/>
      <c r="F345" s="37"/>
      <c r="G345" s="32"/>
      <c r="H345" s="32"/>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row>
    <row r="346" spans="1:44" ht="15">
      <c r="A346" s="37"/>
      <c r="B346" s="15"/>
      <c r="C346" s="37"/>
      <c r="D346" s="37"/>
      <c r="E346" s="37"/>
      <c r="F346" s="37"/>
      <c r="G346" s="32"/>
      <c r="H346" s="32"/>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row>
    <row r="347" spans="1:44" ht="15">
      <c r="A347" s="37"/>
      <c r="B347" s="15"/>
      <c r="C347" s="37"/>
      <c r="D347" s="37"/>
      <c r="E347" s="37"/>
      <c r="F347" s="37"/>
      <c r="G347" s="32"/>
      <c r="H347" s="32"/>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row>
    <row r="348" spans="1:44" ht="15">
      <c r="A348" s="37"/>
      <c r="B348" s="15"/>
      <c r="C348" s="37"/>
      <c r="D348" s="37"/>
      <c r="E348" s="37"/>
      <c r="F348" s="37"/>
      <c r="G348" s="32"/>
      <c r="H348" s="32"/>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row>
    <row r="349" spans="1:44" ht="15">
      <c r="A349" s="37"/>
      <c r="B349" s="15"/>
      <c r="C349" s="37"/>
      <c r="D349" s="37"/>
      <c r="E349" s="37"/>
      <c r="F349" s="37"/>
      <c r="G349" s="32"/>
      <c r="H349" s="32"/>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row>
    <row r="350" spans="1:44" ht="15">
      <c r="A350" s="37"/>
      <c r="B350" s="15"/>
      <c r="C350" s="37"/>
      <c r="D350" s="37"/>
      <c r="E350" s="37"/>
      <c r="F350" s="37"/>
      <c r="G350" s="32"/>
      <c r="H350" s="32"/>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row>
    <row r="351" spans="1:44" ht="15">
      <c r="A351" s="37"/>
      <c r="B351" s="15"/>
      <c r="C351" s="37"/>
      <c r="D351" s="37"/>
      <c r="E351" s="37"/>
      <c r="F351" s="37"/>
      <c r="G351" s="32"/>
      <c r="H351" s="32"/>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row>
    <row r="352" spans="1:44" ht="15">
      <c r="A352" s="37"/>
      <c r="B352" s="15"/>
      <c r="C352" s="37"/>
      <c r="D352" s="37"/>
      <c r="E352" s="37"/>
      <c r="F352" s="37"/>
      <c r="G352" s="32"/>
      <c r="H352" s="32"/>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row>
    <row r="353" spans="1:44" ht="15">
      <c r="A353" s="37"/>
      <c r="B353" s="15"/>
      <c r="C353" s="37"/>
      <c r="D353" s="37"/>
      <c r="E353" s="37"/>
      <c r="F353" s="37"/>
      <c r="G353" s="32"/>
      <c r="H353" s="32"/>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row>
    <row r="354" spans="1:44" ht="15">
      <c r="A354" s="37"/>
      <c r="B354" s="15"/>
      <c r="C354" s="37"/>
      <c r="D354" s="37"/>
      <c r="E354" s="37"/>
      <c r="F354" s="37"/>
      <c r="G354" s="32"/>
      <c r="H354" s="32"/>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row>
    <row r="355" spans="1:44" ht="15">
      <c r="A355" s="37"/>
      <c r="B355" s="15"/>
      <c r="C355" s="37"/>
      <c r="D355" s="37"/>
      <c r="E355" s="37"/>
      <c r="F355" s="37"/>
      <c r="G355" s="32"/>
      <c r="H355" s="32"/>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row>
    <row r="356" spans="1:44" ht="15">
      <c r="A356" s="37"/>
      <c r="B356" s="15"/>
      <c r="C356" s="37"/>
      <c r="D356" s="37"/>
      <c r="E356" s="37"/>
      <c r="F356" s="37"/>
      <c r="G356" s="32"/>
      <c r="H356" s="32"/>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row>
    <row r="357" spans="1:44" ht="15">
      <c r="A357" s="37"/>
      <c r="B357" s="15"/>
      <c r="C357" s="37"/>
      <c r="D357" s="37"/>
      <c r="E357" s="37"/>
      <c r="F357" s="37"/>
      <c r="G357" s="32"/>
      <c r="H357" s="32"/>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row>
    <row r="358" spans="1:44" ht="15">
      <c r="A358" s="37"/>
      <c r="B358" s="15"/>
      <c r="C358" s="37"/>
      <c r="D358" s="37"/>
      <c r="E358" s="37"/>
      <c r="F358" s="37"/>
      <c r="G358" s="32"/>
      <c r="H358" s="32"/>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row>
    <row r="359" spans="1:44" ht="15">
      <c r="A359" s="37"/>
      <c r="B359" s="15"/>
      <c r="C359" s="37"/>
      <c r="D359" s="37"/>
      <c r="E359" s="37"/>
      <c r="F359" s="37"/>
      <c r="G359" s="32"/>
      <c r="H359" s="32"/>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row>
    <row r="360" spans="1:44" ht="15">
      <c r="A360" s="37"/>
      <c r="B360" s="15"/>
      <c r="C360" s="37"/>
      <c r="D360" s="37"/>
      <c r="E360" s="37"/>
      <c r="F360" s="37"/>
      <c r="G360" s="32"/>
      <c r="H360" s="32"/>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row>
    <row r="361" spans="1:44" ht="15">
      <c r="A361" s="37"/>
      <c r="B361" s="15"/>
      <c r="C361" s="37"/>
      <c r="D361" s="37"/>
      <c r="E361" s="37"/>
      <c r="F361" s="37"/>
      <c r="G361" s="32"/>
      <c r="H361" s="32"/>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row>
    <row r="362" spans="1:44" ht="15">
      <c r="A362" s="37"/>
      <c r="B362" s="15"/>
      <c r="C362" s="37"/>
      <c r="D362" s="37"/>
      <c r="E362" s="37"/>
      <c r="F362" s="37"/>
      <c r="G362" s="32"/>
      <c r="H362" s="32"/>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row>
    <row r="363" spans="1:44" ht="15">
      <c r="A363" s="37"/>
      <c r="B363" s="15"/>
      <c r="C363" s="37"/>
      <c r="D363" s="37"/>
      <c r="E363" s="37"/>
      <c r="F363" s="37"/>
      <c r="G363" s="32"/>
      <c r="H363" s="32"/>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row>
    <row r="364" spans="1:44" ht="15">
      <c r="A364" s="37"/>
      <c r="B364" s="15"/>
      <c r="C364" s="37"/>
      <c r="D364" s="37"/>
      <c r="E364" s="37"/>
      <c r="F364" s="37"/>
      <c r="G364" s="32"/>
      <c r="H364" s="32"/>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row>
    <row r="365" spans="1:44" ht="15">
      <c r="A365" s="37"/>
      <c r="B365" s="15"/>
      <c r="C365" s="37"/>
      <c r="D365" s="37"/>
      <c r="E365" s="37"/>
      <c r="F365" s="37"/>
      <c r="G365" s="32"/>
      <c r="H365" s="32"/>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row>
    <row r="366" spans="1:44" ht="15">
      <c r="A366" s="37"/>
      <c r="B366" s="15"/>
      <c r="C366" s="37"/>
      <c r="D366" s="37"/>
      <c r="E366" s="37"/>
      <c r="F366" s="37"/>
      <c r="G366" s="32"/>
      <c r="H366" s="32"/>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row>
    <row r="367" spans="1:44" ht="15">
      <c r="A367" s="37"/>
      <c r="B367" s="15"/>
      <c r="C367" s="37"/>
      <c r="D367" s="37"/>
      <c r="E367" s="37"/>
      <c r="F367" s="37"/>
      <c r="G367" s="32"/>
      <c r="H367" s="32"/>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row>
    <row r="368" spans="1:44" ht="15">
      <c r="A368" s="37"/>
      <c r="B368" s="15"/>
      <c r="C368" s="37"/>
      <c r="D368" s="37"/>
      <c r="E368" s="37"/>
      <c r="F368" s="37"/>
      <c r="G368" s="32"/>
      <c r="H368" s="32"/>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row>
    <row r="369" spans="1:44" ht="15">
      <c r="A369" s="37"/>
      <c r="B369" s="15"/>
      <c r="C369" s="37"/>
      <c r="D369" s="37"/>
      <c r="E369" s="37"/>
      <c r="F369" s="37"/>
      <c r="G369" s="32"/>
      <c r="H369" s="32"/>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row>
    <row r="370" spans="1:44" ht="15">
      <c r="A370" s="37"/>
      <c r="B370" s="15"/>
      <c r="C370" s="37"/>
      <c r="D370" s="37"/>
      <c r="E370" s="37"/>
      <c r="F370" s="37"/>
      <c r="G370" s="32"/>
      <c r="H370" s="32"/>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row>
    <row r="371" spans="1:44" ht="15">
      <c r="A371" s="37"/>
      <c r="B371" s="15"/>
      <c r="C371" s="37"/>
      <c r="D371" s="37"/>
      <c r="E371" s="37"/>
      <c r="F371" s="37"/>
      <c r="G371" s="32"/>
      <c r="H371" s="32"/>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row>
    <row r="372" spans="1:44" ht="15">
      <c r="A372" s="37"/>
      <c r="B372" s="15"/>
      <c r="C372" s="37"/>
      <c r="D372" s="37"/>
      <c r="E372" s="37"/>
      <c r="F372" s="37"/>
      <c r="G372" s="32"/>
      <c r="H372" s="32"/>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row>
    <row r="373" spans="1:44" ht="15">
      <c r="A373" s="37"/>
      <c r="B373" s="15"/>
      <c r="C373" s="37"/>
      <c r="D373" s="37"/>
      <c r="E373" s="37"/>
      <c r="F373" s="37"/>
      <c r="G373" s="32"/>
      <c r="H373" s="32"/>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row>
    <row r="374" spans="1:44" ht="15">
      <c r="A374" s="37"/>
      <c r="B374" s="15"/>
      <c r="C374" s="37"/>
      <c r="D374" s="37"/>
      <c r="E374" s="37"/>
      <c r="F374" s="37"/>
      <c r="G374" s="32"/>
      <c r="H374" s="32"/>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row>
    <row r="375" spans="1:44" ht="15">
      <c r="A375" s="37"/>
      <c r="B375" s="15"/>
      <c r="C375" s="37"/>
      <c r="D375" s="37"/>
      <c r="E375" s="37"/>
      <c r="F375" s="37"/>
      <c r="G375" s="32"/>
      <c r="H375" s="32"/>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row>
    <row r="376" spans="1:44" ht="15">
      <c r="A376" s="37"/>
      <c r="B376" s="15"/>
      <c r="C376" s="37"/>
      <c r="D376" s="37"/>
      <c r="E376" s="37"/>
      <c r="F376" s="37"/>
      <c r="G376" s="32"/>
      <c r="H376" s="32"/>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row>
    <row r="377" spans="1:44" ht="15">
      <c r="A377" s="37"/>
      <c r="B377" s="15"/>
      <c r="C377" s="37"/>
      <c r="D377" s="37"/>
      <c r="E377" s="37"/>
      <c r="F377" s="37"/>
      <c r="G377" s="32"/>
      <c r="H377" s="32"/>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row>
    <row r="378" spans="1:44" ht="15">
      <c r="A378" s="37"/>
      <c r="B378" s="15"/>
      <c r="C378" s="37"/>
      <c r="D378" s="37"/>
      <c r="E378" s="37"/>
      <c r="F378" s="37"/>
      <c r="G378" s="32"/>
      <c r="H378" s="32"/>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row>
    <row r="379" spans="1:44" ht="15">
      <c r="A379" s="37"/>
      <c r="B379" s="15"/>
      <c r="C379" s="37"/>
      <c r="D379" s="37"/>
      <c r="E379" s="37"/>
      <c r="F379" s="37"/>
      <c r="G379" s="32"/>
      <c r="H379" s="32"/>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row>
    <row r="380" spans="1:44" ht="15">
      <c r="A380" s="37"/>
      <c r="B380" s="15"/>
      <c r="C380" s="37"/>
      <c r="D380" s="37"/>
      <c r="E380" s="37"/>
      <c r="F380" s="37"/>
      <c r="G380" s="32"/>
      <c r="H380" s="32"/>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row>
    <row r="381" spans="1:44" ht="15">
      <c r="A381" s="37"/>
      <c r="B381" s="15"/>
      <c r="C381" s="37"/>
      <c r="D381" s="37"/>
      <c r="E381" s="37"/>
      <c r="F381" s="37"/>
      <c r="G381" s="32"/>
      <c r="H381" s="32"/>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row>
    <row r="382" spans="1:44" ht="15">
      <c r="A382" s="37"/>
      <c r="B382" s="15"/>
      <c r="C382" s="37"/>
      <c r="D382" s="37"/>
      <c r="E382" s="37"/>
      <c r="F382" s="37"/>
      <c r="G382" s="32"/>
      <c r="H382" s="32"/>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row>
    <row r="383" spans="1:44" ht="15">
      <c r="A383" s="37"/>
      <c r="B383" s="15"/>
      <c r="C383" s="37"/>
      <c r="D383" s="37"/>
      <c r="E383" s="37"/>
      <c r="F383" s="37"/>
      <c r="G383" s="32"/>
      <c r="H383" s="32"/>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row>
    <row r="384" spans="1:44" ht="15">
      <c r="A384" s="37"/>
      <c r="B384" s="15"/>
      <c r="C384" s="37"/>
      <c r="D384" s="37"/>
      <c r="E384" s="37"/>
      <c r="F384" s="37"/>
      <c r="G384" s="32"/>
      <c r="H384" s="32"/>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row>
    <row r="385" spans="1:44" ht="15">
      <c r="A385" s="37"/>
      <c r="B385" s="15"/>
      <c r="C385" s="37"/>
      <c r="D385" s="37"/>
      <c r="E385" s="37"/>
      <c r="F385" s="37"/>
      <c r="G385" s="32"/>
      <c r="H385" s="32"/>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row>
    <row r="386" spans="1:44" ht="15">
      <c r="A386" s="37"/>
      <c r="B386" s="15"/>
      <c r="C386" s="37"/>
      <c r="D386" s="37"/>
      <c r="E386" s="37"/>
      <c r="F386" s="37"/>
      <c r="G386" s="32"/>
      <c r="H386" s="32"/>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row>
    <row r="387" spans="1:44" ht="15">
      <c r="A387" s="37"/>
      <c r="B387" s="15"/>
      <c r="C387" s="37"/>
      <c r="D387" s="37"/>
      <c r="E387" s="37"/>
      <c r="F387" s="37"/>
      <c r="G387" s="32"/>
      <c r="H387" s="32"/>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row>
    <row r="388" spans="1:44" ht="15">
      <c r="A388" s="37"/>
      <c r="B388" s="15"/>
      <c r="C388" s="37"/>
      <c r="D388" s="37"/>
      <c r="E388" s="37"/>
      <c r="F388" s="37"/>
      <c r="G388" s="32"/>
      <c r="H388" s="32"/>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row>
    <row r="389" spans="1:44" ht="15">
      <c r="A389" s="37"/>
      <c r="B389" s="15"/>
      <c r="C389" s="37"/>
      <c r="D389" s="37"/>
      <c r="E389" s="37"/>
      <c r="F389" s="37"/>
      <c r="G389" s="32"/>
      <c r="H389" s="32"/>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row>
    <row r="390" spans="1:44" ht="15">
      <c r="A390" s="37"/>
      <c r="B390" s="15"/>
      <c r="C390" s="37"/>
      <c r="D390" s="37"/>
      <c r="E390" s="37"/>
      <c r="F390" s="37"/>
      <c r="G390" s="32"/>
      <c r="H390" s="32"/>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row>
    <row r="391" spans="1:44" ht="15">
      <c r="A391" s="37"/>
      <c r="B391" s="15"/>
      <c r="C391" s="37"/>
      <c r="D391" s="37"/>
      <c r="E391" s="37"/>
      <c r="F391" s="37"/>
      <c r="G391" s="32"/>
      <c r="H391" s="32"/>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row>
    <row r="392" spans="1:44" ht="15">
      <c r="A392" s="37"/>
      <c r="B392" s="15"/>
      <c r="C392" s="37"/>
      <c r="D392" s="37"/>
      <c r="E392" s="37"/>
      <c r="F392" s="37"/>
      <c r="G392" s="32"/>
      <c r="H392" s="32"/>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row>
    <row r="393" spans="1:44" ht="15">
      <c r="A393" s="37"/>
      <c r="B393" s="15"/>
      <c r="C393" s="37"/>
      <c r="D393" s="37"/>
      <c r="E393" s="37"/>
      <c r="F393" s="37"/>
      <c r="G393" s="32"/>
      <c r="H393" s="32"/>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row>
    <row r="394" spans="1:44" ht="15">
      <c r="A394" s="37"/>
      <c r="B394" s="15"/>
      <c r="C394" s="37"/>
      <c r="D394" s="37"/>
      <c r="E394" s="37"/>
      <c r="F394" s="37"/>
      <c r="G394" s="32"/>
      <c r="H394" s="32"/>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row>
    <row r="395" spans="1:44" ht="15">
      <c r="A395" s="37"/>
      <c r="B395" s="15"/>
      <c r="C395" s="37"/>
      <c r="D395" s="37"/>
      <c r="E395" s="37"/>
      <c r="F395" s="37"/>
      <c r="G395" s="32"/>
      <c r="H395" s="32"/>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row>
    <row r="396" spans="1:44" ht="15">
      <c r="A396" s="37"/>
      <c r="B396" s="15"/>
      <c r="C396" s="37"/>
      <c r="D396" s="37"/>
      <c r="E396" s="37"/>
      <c r="F396" s="37"/>
      <c r="G396" s="32"/>
      <c r="H396" s="32"/>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row>
    <row r="397" spans="1:44" ht="15">
      <c r="A397" s="37"/>
      <c r="B397" s="15"/>
      <c r="C397" s="37"/>
      <c r="D397" s="37"/>
      <c r="E397" s="37"/>
      <c r="F397" s="37"/>
      <c r="G397" s="32"/>
      <c r="H397" s="32"/>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row>
    <row r="398" spans="1:44" ht="15">
      <c r="A398" s="37"/>
      <c r="B398" s="15"/>
      <c r="C398" s="37"/>
      <c r="D398" s="37"/>
      <c r="E398" s="37"/>
      <c r="F398" s="37"/>
      <c r="G398" s="32"/>
      <c r="H398" s="32"/>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row>
    <row r="399" spans="1:44" ht="15">
      <c r="A399" s="37"/>
      <c r="B399" s="15"/>
      <c r="C399" s="37"/>
      <c r="D399" s="37"/>
      <c r="E399" s="37"/>
      <c r="F399" s="37"/>
      <c r="G399" s="32"/>
      <c r="H399" s="32"/>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row>
    <row r="400" spans="1:44" ht="15">
      <c r="A400" s="37"/>
      <c r="B400" s="15"/>
      <c r="C400" s="37"/>
      <c r="D400" s="37"/>
      <c r="E400" s="37"/>
      <c r="F400" s="37"/>
      <c r="G400" s="32"/>
      <c r="H400" s="32"/>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row>
    <row r="401" spans="1:44" ht="15">
      <c r="A401" s="37"/>
      <c r="B401" s="15"/>
      <c r="C401" s="37"/>
      <c r="D401" s="37"/>
      <c r="E401" s="37"/>
      <c r="F401" s="37"/>
      <c r="G401" s="32"/>
      <c r="H401" s="32"/>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row>
    <row r="402" spans="1:44" ht="15">
      <c r="A402" s="37"/>
      <c r="B402" s="15"/>
      <c r="C402" s="37"/>
      <c r="D402" s="37"/>
      <c r="E402" s="37"/>
      <c r="F402" s="37"/>
      <c r="G402" s="32"/>
      <c r="H402" s="32"/>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row>
    <row r="403" spans="1:44" ht="15">
      <c r="A403" s="37"/>
      <c r="B403" s="15"/>
      <c r="C403" s="37"/>
      <c r="D403" s="37"/>
      <c r="E403" s="37"/>
      <c r="F403" s="37"/>
      <c r="G403" s="32"/>
      <c r="H403" s="32"/>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row>
    <row r="404" spans="1:44" ht="15">
      <c r="A404" s="37"/>
      <c r="B404" s="15"/>
      <c r="C404" s="37"/>
      <c r="D404" s="37"/>
      <c r="E404" s="37"/>
      <c r="F404" s="37"/>
      <c r="G404" s="32"/>
      <c r="H404" s="32"/>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row>
    <row r="405" spans="1:44" ht="15">
      <c r="A405" s="37"/>
      <c r="B405" s="15"/>
      <c r="C405" s="37"/>
      <c r="D405" s="37"/>
      <c r="E405" s="37"/>
      <c r="F405" s="37"/>
      <c r="G405" s="32"/>
      <c r="H405" s="32"/>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row>
    <row r="406" spans="1:44" ht="15">
      <c r="A406" s="37"/>
      <c r="B406" s="15"/>
      <c r="C406" s="37"/>
      <c r="D406" s="37"/>
      <c r="E406" s="37"/>
      <c r="F406" s="37"/>
      <c r="G406" s="32"/>
      <c r="H406" s="32"/>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row>
    <row r="407" spans="1:44" ht="15">
      <c r="A407" s="37"/>
      <c r="B407" s="15"/>
      <c r="C407" s="37"/>
      <c r="D407" s="37"/>
      <c r="E407" s="37"/>
      <c r="F407" s="37"/>
      <c r="G407" s="32"/>
      <c r="H407" s="32"/>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row>
    <row r="408" spans="1:44" ht="15">
      <c r="A408" s="37"/>
      <c r="B408" s="15"/>
      <c r="C408" s="37"/>
      <c r="D408" s="37"/>
      <c r="E408" s="37"/>
      <c r="F408" s="37"/>
      <c r="G408" s="32"/>
      <c r="H408" s="32"/>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row>
    <row r="409" spans="1:44" ht="15">
      <c r="A409" s="37"/>
      <c r="B409" s="15"/>
      <c r="C409" s="37"/>
      <c r="D409" s="37"/>
      <c r="E409" s="37"/>
      <c r="F409" s="37"/>
      <c r="G409" s="32"/>
      <c r="H409" s="32"/>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row>
    <row r="410" spans="1:44" ht="15">
      <c r="A410" s="37"/>
      <c r="B410" s="15"/>
      <c r="C410" s="37"/>
      <c r="D410" s="37"/>
      <c r="E410" s="37"/>
      <c r="F410" s="37"/>
      <c r="G410" s="32"/>
      <c r="H410" s="32"/>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row>
    <row r="411" spans="1:44" ht="15">
      <c r="A411" s="37"/>
      <c r="B411" s="15"/>
      <c r="C411" s="37"/>
      <c r="D411" s="37"/>
      <c r="E411" s="37"/>
      <c r="F411" s="37"/>
      <c r="G411" s="32"/>
      <c r="H411" s="32"/>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row>
    <row r="412" spans="1:44" ht="15">
      <c r="A412" s="37"/>
      <c r="B412" s="15"/>
      <c r="C412" s="37"/>
      <c r="D412" s="37"/>
      <c r="E412" s="37"/>
      <c r="F412" s="37"/>
      <c r="G412" s="32"/>
      <c r="H412" s="32"/>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row>
    <row r="413" spans="1:44" ht="15">
      <c r="A413" s="37"/>
      <c r="B413" s="15"/>
      <c r="C413" s="37"/>
      <c r="D413" s="37"/>
      <c r="E413" s="37"/>
      <c r="F413" s="37"/>
      <c r="G413" s="32"/>
      <c r="H413" s="32"/>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row>
    <row r="414" spans="1:44" ht="15">
      <c r="A414" s="37"/>
      <c r="B414" s="15"/>
      <c r="C414" s="37"/>
      <c r="D414" s="37"/>
      <c r="E414" s="37"/>
      <c r="F414" s="37"/>
      <c r="G414" s="32"/>
      <c r="H414" s="32"/>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row>
    <row r="415" spans="1:44" ht="15">
      <c r="A415" s="37"/>
      <c r="B415" s="15"/>
      <c r="C415" s="37"/>
      <c r="D415" s="37"/>
      <c r="E415" s="37"/>
      <c r="F415" s="37"/>
      <c r="G415" s="32"/>
      <c r="H415" s="32"/>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row>
    <row r="416" spans="1:44" ht="15">
      <c r="A416" s="37"/>
      <c r="B416" s="15"/>
      <c r="C416" s="37"/>
      <c r="D416" s="37"/>
      <c r="E416" s="37"/>
      <c r="F416" s="37"/>
      <c r="G416" s="32"/>
      <c r="H416" s="32"/>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row>
    <row r="417" spans="1:44" ht="15">
      <c r="A417" s="37"/>
      <c r="B417" s="15"/>
      <c r="C417" s="37"/>
      <c r="D417" s="37"/>
      <c r="E417" s="37"/>
      <c r="F417" s="37"/>
      <c r="G417" s="32"/>
      <c r="H417" s="32"/>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row>
    <row r="418" spans="1:44" ht="15">
      <c r="A418" s="37"/>
      <c r="B418" s="15"/>
      <c r="C418" s="37"/>
      <c r="D418" s="37"/>
      <c r="E418" s="37"/>
      <c r="F418" s="37"/>
      <c r="G418" s="32"/>
      <c r="H418" s="32"/>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row>
    <row r="419" spans="1:44" ht="15">
      <c r="A419" s="37"/>
      <c r="B419" s="15"/>
      <c r="C419" s="37"/>
      <c r="D419" s="37"/>
      <c r="E419" s="37"/>
      <c r="F419" s="37"/>
      <c r="G419" s="32"/>
      <c r="H419" s="32"/>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row>
    <row r="420" spans="1:44" ht="15">
      <c r="A420" s="37"/>
      <c r="B420" s="15"/>
      <c r="C420" s="37"/>
      <c r="D420" s="37"/>
      <c r="E420" s="37"/>
      <c r="F420" s="37"/>
      <c r="G420" s="32"/>
      <c r="H420" s="32"/>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row>
    <row r="421" spans="1:44" ht="15">
      <c r="A421" s="37"/>
      <c r="B421" s="15"/>
      <c r="C421" s="37"/>
      <c r="D421" s="37"/>
      <c r="E421" s="37"/>
      <c r="F421" s="37"/>
      <c r="G421" s="32"/>
      <c r="H421" s="32"/>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row>
    <row r="422" spans="1:44" ht="15">
      <c r="A422" s="37"/>
      <c r="B422" s="15"/>
      <c r="C422" s="37"/>
      <c r="D422" s="37"/>
      <c r="E422" s="37"/>
      <c r="F422" s="37"/>
      <c r="G422" s="32"/>
      <c r="H422" s="32"/>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row>
    <row r="423" spans="1:44" ht="15">
      <c r="A423" s="37"/>
      <c r="B423" s="15"/>
      <c r="C423" s="37"/>
      <c r="D423" s="37"/>
      <c r="E423" s="37"/>
      <c r="F423" s="37"/>
      <c r="G423" s="32"/>
      <c r="H423" s="32"/>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row>
    <row r="424" spans="1:44" ht="15">
      <c r="A424" s="37"/>
      <c r="B424" s="15"/>
      <c r="C424" s="37"/>
      <c r="D424" s="37"/>
      <c r="E424" s="37"/>
      <c r="F424" s="37"/>
      <c r="G424" s="32"/>
      <c r="H424" s="32"/>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row>
    <row r="425" spans="1:44" ht="15">
      <c r="A425" s="37"/>
      <c r="B425" s="15"/>
      <c r="C425" s="37"/>
      <c r="D425" s="37"/>
      <c r="E425" s="37"/>
      <c r="F425" s="37"/>
      <c r="G425" s="32"/>
      <c r="H425" s="32"/>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row>
    <row r="426" spans="1:44" ht="15">
      <c r="A426" s="37"/>
      <c r="B426" s="15"/>
      <c r="C426" s="37"/>
      <c r="D426" s="37"/>
      <c r="E426" s="37"/>
      <c r="F426" s="37"/>
      <c r="G426" s="32"/>
      <c r="H426" s="32"/>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row>
    <row r="427" spans="1:44" ht="15">
      <c r="A427" s="37"/>
      <c r="B427" s="15"/>
      <c r="C427" s="37"/>
      <c r="D427" s="37"/>
      <c r="E427" s="37"/>
      <c r="F427" s="37"/>
      <c r="G427" s="32"/>
      <c r="H427" s="32"/>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row>
    <row r="428" spans="1:44" ht="15">
      <c r="A428" s="37"/>
      <c r="B428" s="15"/>
      <c r="C428" s="37"/>
      <c r="D428" s="37"/>
      <c r="E428" s="37"/>
      <c r="F428" s="37"/>
      <c r="G428" s="32"/>
      <c r="H428" s="32"/>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row>
    <row r="429" spans="1:44" ht="15">
      <c r="A429" s="37"/>
      <c r="B429" s="15"/>
      <c r="C429" s="37"/>
      <c r="D429" s="37"/>
      <c r="E429" s="37"/>
      <c r="F429" s="37"/>
      <c r="G429" s="32"/>
      <c r="H429" s="32"/>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row>
    <row r="430" spans="1:44" ht="15">
      <c r="A430" s="37"/>
      <c r="B430" s="15"/>
      <c r="C430" s="37"/>
      <c r="D430" s="37"/>
      <c r="E430" s="37"/>
      <c r="F430" s="37"/>
      <c r="G430" s="32"/>
      <c r="H430" s="32"/>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row>
    <row r="431" spans="1:44" ht="15">
      <c r="A431" s="37"/>
      <c r="B431" s="15"/>
      <c r="C431" s="37"/>
      <c r="D431" s="37"/>
      <c r="E431" s="37"/>
      <c r="F431" s="37"/>
      <c r="G431" s="32"/>
      <c r="H431" s="32"/>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row>
    <row r="432" spans="1:44" ht="15">
      <c r="A432" s="37"/>
      <c r="B432" s="15"/>
      <c r="C432" s="37"/>
      <c r="D432" s="37"/>
      <c r="E432" s="37"/>
      <c r="F432" s="37"/>
      <c r="G432" s="32"/>
      <c r="H432" s="32"/>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row>
    <row r="433" spans="1:44" ht="15">
      <c r="A433" s="37"/>
      <c r="B433" s="15"/>
      <c r="C433" s="37"/>
      <c r="D433" s="37"/>
      <c r="E433" s="37"/>
      <c r="F433" s="37"/>
      <c r="G433" s="32"/>
      <c r="H433" s="32"/>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row>
    <row r="434" spans="1:44" ht="15">
      <c r="A434" s="37"/>
      <c r="B434" s="15"/>
      <c r="C434" s="37"/>
      <c r="D434" s="37"/>
      <c r="E434" s="37"/>
      <c r="F434" s="37"/>
      <c r="G434" s="32"/>
      <c r="H434" s="32"/>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row>
    <row r="435" spans="1:44" ht="15">
      <c r="A435" s="37"/>
      <c r="B435" s="15"/>
      <c r="C435" s="37"/>
      <c r="D435" s="37"/>
      <c r="E435" s="37"/>
      <c r="F435" s="37"/>
      <c r="G435" s="32"/>
      <c r="H435" s="32"/>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row>
    <row r="436" spans="1:44" ht="15">
      <c r="A436" s="37"/>
      <c r="B436" s="15"/>
      <c r="C436" s="37"/>
      <c r="D436" s="37"/>
      <c r="E436" s="37"/>
      <c r="F436" s="37"/>
      <c r="G436" s="32"/>
      <c r="H436" s="32"/>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row>
    <row r="437" spans="1:44" ht="15">
      <c r="A437" s="37"/>
      <c r="B437" s="15"/>
      <c r="C437" s="37"/>
      <c r="D437" s="37"/>
      <c r="E437" s="37"/>
      <c r="F437" s="37"/>
      <c r="G437" s="32"/>
      <c r="H437" s="32"/>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row>
    <row r="438" spans="1:44" ht="15">
      <c r="A438" s="37"/>
      <c r="B438" s="15"/>
      <c r="C438" s="37"/>
      <c r="D438" s="37"/>
      <c r="E438" s="37"/>
      <c r="F438" s="37"/>
      <c r="G438" s="32"/>
      <c r="H438" s="32"/>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row>
    <row r="439" spans="1:44" ht="15">
      <c r="A439" s="37"/>
      <c r="B439" s="15"/>
      <c r="C439" s="37"/>
      <c r="D439" s="37"/>
      <c r="E439" s="37"/>
      <c r="F439" s="37"/>
      <c r="G439" s="32"/>
      <c r="H439" s="32"/>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row>
    <row r="440" spans="1:44" ht="15">
      <c r="A440" s="37"/>
      <c r="B440" s="15"/>
      <c r="C440" s="37"/>
      <c r="D440" s="37"/>
      <c r="E440" s="37"/>
      <c r="F440" s="37"/>
      <c r="G440" s="32"/>
      <c r="H440" s="32"/>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row>
    <row r="441" spans="1:44" ht="15">
      <c r="A441" s="37"/>
      <c r="B441" s="15"/>
      <c r="C441" s="37"/>
      <c r="D441" s="37"/>
      <c r="E441" s="37"/>
      <c r="F441" s="37"/>
      <c r="G441" s="32"/>
      <c r="H441" s="32"/>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row>
    <row r="442" spans="1:44" ht="15">
      <c r="A442" s="37"/>
      <c r="B442" s="15"/>
      <c r="C442" s="37"/>
      <c r="D442" s="37"/>
      <c r="E442" s="37"/>
      <c r="F442" s="37"/>
      <c r="G442" s="32"/>
      <c r="H442" s="32"/>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row>
    <row r="443" spans="1:44" ht="15">
      <c r="A443" s="37"/>
      <c r="B443" s="15"/>
      <c r="C443" s="37"/>
      <c r="D443" s="37"/>
      <c r="E443" s="37"/>
      <c r="F443" s="37"/>
      <c r="G443" s="32"/>
      <c r="H443" s="32"/>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row>
    <row r="444" spans="1:44" ht="15">
      <c r="A444" s="37"/>
      <c r="B444" s="15"/>
      <c r="C444" s="37"/>
      <c r="D444" s="37"/>
      <c r="E444" s="37"/>
      <c r="F444" s="37"/>
      <c r="G444" s="32"/>
      <c r="H444" s="32"/>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row>
    <row r="445" spans="1:44" ht="15">
      <c r="A445" s="37"/>
      <c r="B445" s="15"/>
      <c r="C445" s="37"/>
      <c r="D445" s="37"/>
      <c r="E445" s="37"/>
      <c r="F445" s="37"/>
      <c r="G445" s="32"/>
      <c r="H445" s="32"/>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row>
    <row r="446" spans="1:44" ht="15">
      <c r="A446" s="37"/>
      <c r="B446" s="15"/>
      <c r="C446" s="37"/>
      <c r="D446" s="37"/>
      <c r="E446" s="37"/>
      <c r="F446" s="37"/>
      <c r="G446" s="32"/>
      <c r="H446" s="32"/>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row>
    <row r="447" spans="1:44" ht="15">
      <c r="A447" s="37"/>
      <c r="B447" s="15"/>
      <c r="C447" s="37"/>
      <c r="D447" s="37"/>
      <c r="E447" s="37"/>
      <c r="F447" s="37"/>
      <c r="G447" s="32"/>
      <c r="H447" s="32"/>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row>
    <row r="448" spans="1:44" ht="15">
      <c r="A448" s="37"/>
      <c r="B448" s="15"/>
      <c r="C448" s="37"/>
      <c r="D448" s="37"/>
      <c r="E448" s="37"/>
      <c r="F448" s="37"/>
      <c r="G448" s="32"/>
      <c r="H448" s="32"/>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row>
    <row r="449" spans="1:44" ht="15">
      <c r="A449" s="37"/>
      <c r="B449" s="15"/>
      <c r="C449" s="37"/>
      <c r="D449" s="37"/>
      <c r="E449" s="37"/>
      <c r="F449" s="37"/>
      <c r="G449" s="32"/>
      <c r="H449" s="32"/>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row>
    <row r="450" spans="1:44" ht="15">
      <c r="A450" s="37"/>
      <c r="B450" s="15"/>
      <c r="C450" s="37"/>
      <c r="D450" s="37"/>
      <c r="E450" s="37"/>
      <c r="F450" s="37"/>
      <c r="G450" s="32"/>
      <c r="H450" s="32"/>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row>
    <row r="451" spans="1:44" ht="15">
      <c r="A451" s="37"/>
      <c r="B451" s="15"/>
      <c r="C451" s="37"/>
      <c r="D451" s="37"/>
      <c r="E451" s="37"/>
      <c r="F451" s="37"/>
      <c r="G451" s="32"/>
      <c r="H451" s="32"/>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row>
    <row r="452" spans="1:44" ht="15">
      <c r="A452" s="37"/>
      <c r="B452" s="15"/>
      <c r="C452" s="37"/>
      <c r="D452" s="37"/>
      <c r="E452" s="37"/>
      <c r="F452" s="37"/>
      <c r="G452" s="32"/>
      <c r="H452" s="32"/>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row>
    <row r="453" spans="1:44" ht="15">
      <c r="A453" s="37"/>
      <c r="B453" s="15"/>
      <c r="C453" s="37"/>
      <c r="D453" s="37"/>
      <c r="E453" s="37"/>
      <c r="F453" s="37"/>
      <c r="G453" s="32"/>
      <c r="H453" s="32"/>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row>
    <row r="454" spans="1:44" ht="15">
      <c r="A454" s="37"/>
      <c r="B454" s="15"/>
      <c r="C454" s="37"/>
      <c r="D454" s="37"/>
      <c r="E454" s="37"/>
      <c r="F454" s="37"/>
      <c r="G454" s="32"/>
      <c r="H454" s="32"/>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row>
    <row r="455" spans="1:44" ht="15">
      <c r="A455" s="37"/>
      <c r="B455" s="15"/>
      <c r="C455" s="37"/>
      <c r="D455" s="37"/>
      <c r="E455" s="37"/>
      <c r="F455" s="37"/>
      <c r="G455" s="32"/>
      <c r="H455" s="32"/>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row>
    <row r="456" spans="1:44" ht="15">
      <c r="A456" s="37"/>
      <c r="B456" s="15"/>
      <c r="C456" s="37"/>
      <c r="D456" s="37"/>
      <c r="E456" s="37"/>
      <c r="F456" s="37"/>
      <c r="G456" s="32"/>
      <c r="H456" s="32"/>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row>
    <row r="457" spans="1:44" ht="15">
      <c r="A457" s="37"/>
      <c r="B457" s="15"/>
      <c r="C457" s="37"/>
      <c r="D457" s="37"/>
      <c r="E457" s="37"/>
      <c r="F457" s="37"/>
      <c r="G457" s="32"/>
      <c r="H457" s="32"/>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row>
    <row r="458" spans="1:44" ht="15">
      <c r="A458" s="37"/>
      <c r="B458" s="15"/>
      <c r="C458" s="37"/>
      <c r="D458" s="37"/>
      <c r="E458" s="37"/>
      <c r="F458" s="37"/>
      <c r="G458" s="32"/>
      <c r="H458" s="32"/>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row>
    <row r="459" spans="1:44" ht="15">
      <c r="A459" s="37"/>
      <c r="B459" s="15"/>
      <c r="C459" s="37"/>
      <c r="D459" s="37"/>
      <c r="E459" s="37"/>
      <c r="F459" s="37"/>
      <c r="G459" s="32"/>
      <c r="H459" s="32"/>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row>
    <row r="460" spans="1:44" ht="15">
      <c r="A460" s="37"/>
      <c r="B460" s="15"/>
      <c r="C460" s="37"/>
      <c r="D460" s="37"/>
      <c r="E460" s="37"/>
      <c r="F460" s="37"/>
      <c r="G460" s="32"/>
      <c r="H460" s="32"/>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row>
    <row r="461" spans="1:44" ht="15">
      <c r="A461" s="37"/>
      <c r="B461" s="15"/>
      <c r="C461" s="37"/>
      <c r="D461" s="37"/>
      <c r="E461" s="37"/>
      <c r="F461" s="37"/>
      <c r="G461" s="32"/>
      <c r="H461" s="32"/>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row>
    <row r="462" spans="1:44" ht="15">
      <c r="A462" s="37"/>
      <c r="B462" s="15"/>
      <c r="C462" s="37"/>
      <c r="D462" s="37"/>
      <c r="E462" s="37"/>
      <c r="F462" s="37"/>
      <c r="G462" s="32"/>
      <c r="H462" s="32"/>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row>
    <row r="463" spans="1:44" ht="15">
      <c r="A463" s="37"/>
      <c r="B463" s="15"/>
      <c r="C463" s="37"/>
      <c r="D463" s="37"/>
      <c r="E463" s="37"/>
      <c r="F463" s="37"/>
      <c r="G463" s="32"/>
      <c r="H463" s="32"/>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row>
    <row r="464" spans="1:44" ht="15">
      <c r="A464" s="37"/>
      <c r="B464" s="15"/>
      <c r="C464" s="37"/>
      <c r="D464" s="37"/>
      <c r="E464" s="37"/>
      <c r="F464" s="37"/>
      <c r="G464" s="32"/>
      <c r="H464" s="32"/>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row>
    <row r="465" spans="1:44" ht="15">
      <c r="A465" s="37"/>
      <c r="B465" s="15"/>
      <c r="C465" s="37"/>
      <c r="D465" s="37"/>
      <c r="E465" s="37"/>
      <c r="F465" s="37"/>
      <c r="G465" s="32"/>
      <c r="H465" s="32"/>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row>
    <row r="466" spans="1:44" ht="15">
      <c r="A466" s="37"/>
      <c r="B466" s="15"/>
      <c r="C466" s="37"/>
      <c r="D466" s="37"/>
      <c r="E466" s="37"/>
      <c r="F466" s="37"/>
      <c r="G466" s="32"/>
      <c r="H466" s="32"/>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row>
    <row r="467" spans="1:44" ht="15">
      <c r="A467" s="37"/>
      <c r="B467" s="15"/>
      <c r="C467" s="37"/>
      <c r="D467" s="37"/>
      <c r="E467" s="37"/>
      <c r="F467" s="37"/>
      <c r="G467" s="32"/>
      <c r="H467" s="32"/>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row>
    <row r="468" spans="1:44" ht="15">
      <c r="A468" s="37"/>
      <c r="B468" s="15"/>
      <c r="C468" s="37"/>
      <c r="D468" s="37"/>
      <c r="E468" s="37"/>
      <c r="F468" s="37"/>
      <c r="G468" s="32"/>
      <c r="H468" s="32"/>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row>
    <row r="469" spans="1:44" ht="15">
      <c r="A469" s="37"/>
      <c r="B469" s="15"/>
      <c r="C469" s="37"/>
      <c r="D469" s="37"/>
      <c r="E469" s="37"/>
      <c r="F469" s="37"/>
      <c r="G469" s="32"/>
      <c r="H469" s="32"/>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row>
    <row r="470" spans="1:44" ht="15">
      <c r="A470" s="37"/>
      <c r="B470" s="15"/>
      <c r="C470" s="37"/>
      <c r="D470" s="37"/>
      <c r="E470" s="37"/>
      <c r="F470" s="37"/>
      <c r="G470" s="32"/>
      <c r="H470" s="32"/>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row>
    <row r="471" spans="1:44" ht="15">
      <c r="A471" s="37"/>
      <c r="B471" s="15"/>
      <c r="C471" s="37"/>
      <c r="D471" s="37"/>
      <c r="E471" s="37"/>
      <c r="F471" s="37"/>
      <c r="G471" s="32"/>
      <c r="H471" s="32"/>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row>
    <row r="472" spans="1:44" ht="15">
      <c r="A472" s="37"/>
      <c r="B472" s="15"/>
      <c r="C472" s="37"/>
      <c r="D472" s="37"/>
      <c r="E472" s="37"/>
      <c r="F472" s="37"/>
      <c r="G472" s="32"/>
      <c r="H472" s="32"/>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row>
    <row r="473" spans="1:44" ht="15">
      <c r="A473" s="37"/>
      <c r="B473" s="15"/>
      <c r="C473" s="37"/>
      <c r="D473" s="37"/>
      <c r="E473" s="37"/>
      <c r="F473" s="37"/>
      <c r="G473" s="32"/>
      <c r="H473" s="32"/>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row>
    <row r="474" spans="1:44" ht="15">
      <c r="A474" s="37"/>
      <c r="B474" s="15"/>
      <c r="C474" s="37"/>
      <c r="D474" s="37"/>
      <c r="E474" s="37"/>
      <c r="F474" s="37"/>
      <c r="G474" s="32"/>
      <c r="H474" s="32"/>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row>
    <row r="475" spans="1:44" ht="15">
      <c r="A475" s="37"/>
      <c r="B475" s="15"/>
      <c r="C475" s="37"/>
      <c r="D475" s="37"/>
      <c r="E475" s="37"/>
      <c r="F475" s="37"/>
      <c r="G475" s="32"/>
      <c r="H475" s="32"/>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row>
    <row r="476" spans="1:44" ht="15">
      <c r="A476" s="37"/>
      <c r="B476" s="15"/>
      <c r="C476" s="37"/>
      <c r="D476" s="37"/>
      <c r="E476" s="37"/>
      <c r="F476" s="37"/>
      <c r="G476" s="32"/>
      <c r="H476" s="32"/>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row>
    <row r="477" spans="1:44" ht="15">
      <c r="A477" s="37"/>
      <c r="B477" s="15"/>
      <c r="C477" s="37"/>
      <c r="D477" s="37"/>
      <c r="E477" s="37"/>
      <c r="F477" s="37"/>
      <c r="G477" s="32"/>
      <c r="H477" s="32"/>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row>
    <row r="478" spans="1:44" ht="15">
      <c r="A478" s="37"/>
      <c r="B478" s="15"/>
      <c r="C478" s="37"/>
      <c r="D478" s="37"/>
      <c r="E478" s="37"/>
      <c r="F478" s="37"/>
      <c r="G478" s="32"/>
      <c r="H478" s="32"/>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row>
    <row r="479" spans="1:44" ht="15">
      <c r="A479" s="37"/>
      <c r="B479" s="15"/>
      <c r="C479" s="37"/>
      <c r="D479" s="37"/>
      <c r="E479" s="37"/>
      <c r="F479" s="37"/>
      <c r="G479" s="32"/>
      <c r="H479" s="32"/>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row>
    <row r="480" spans="1:44" ht="15">
      <c r="A480" s="37"/>
      <c r="B480" s="15"/>
      <c r="C480" s="37"/>
      <c r="D480" s="37"/>
      <c r="E480" s="37"/>
      <c r="F480" s="37"/>
      <c r="G480" s="32"/>
      <c r="H480" s="32"/>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row>
    <row r="481" spans="1:44" ht="15">
      <c r="A481" s="37"/>
      <c r="B481" s="15"/>
      <c r="C481" s="37"/>
      <c r="D481" s="37"/>
      <c r="E481" s="37"/>
      <c r="F481" s="37"/>
      <c r="G481" s="32"/>
      <c r="H481" s="32"/>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row>
    <row r="482" spans="1:44" ht="15">
      <c r="A482" s="37"/>
      <c r="B482" s="15"/>
      <c r="C482" s="37"/>
      <c r="D482" s="37"/>
      <c r="E482" s="37"/>
      <c r="F482" s="37"/>
      <c r="G482" s="32"/>
      <c r="H482" s="32"/>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row>
    <row r="483" spans="1:44" ht="15">
      <c r="A483" s="37"/>
      <c r="B483" s="15"/>
      <c r="C483" s="37"/>
      <c r="D483" s="37"/>
      <c r="E483" s="37"/>
      <c r="F483" s="37"/>
      <c r="G483" s="32"/>
      <c r="H483" s="32"/>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row>
    <row r="484" spans="1:44" ht="15">
      <c r="A484" s="37"/>
      <c r="B484" s="15"/>
      <c r="C484" s="37"/>
      <c r="D484" s="37"/>
      <c r="E484" s="37"/>
      <c r="F484" s="37"/>
      <c r="G484" s="32"/>
      <c r="H484" s="32"/>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row>
    <row r="485" spans="1:44" ht="15">
      <c r="A485" s="37"/>
      <c r="B485" s="15"/>
      <c r="C485" s="37"/>
      <c r="D485" s="37"/>
      <c r="E485" s="37"/>
      <c r="F485" s="37"/>
      <c r="G485" s="32"/>
      <c r="H485" s="32"/>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row>
    <row r="486" spans="1:44" ht="15">
      <c r="A486" s="37"/>
      <c r="B486" s="15"/>
      <c r="C486" s="37"/>
      <c r="D486" s="37"/>
      <c r="E486" s="37"/>
      <c r="F486" s="37"/>
      <c r="G486" s="32"/>
      <c r="H486" s="32"/>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row>
    <row r="487" spans="1:44" ht="15">
      <c r="A487" s="37"/>
      <c r="B487" s="15"/>
      <c r="C487" s="37"/>
      <c r="D487" s="37"/>
      <c r="E487" s="37"/>
      <c r="F487" s="37"/>
      <c r="G487" s="32"/>
      <c r="H487" s="32"/>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row>
    <row r="488" spans="1:44" ht="15">
      <c r="A488" s="37"/>
      <c r="B488" s="15"/>
      <c r="C488" s="37"/>
      <c r="D488" s="37"/>
      <c r="E488" s="37"/>
      <c r="F488" s="37"/>
      <c r="G488" s="32"/>
      <c r="H488" s="32"/>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row>
    <row r="489" spans="1:44" ht="15">
      <c r="A489" s="37"/>
      <c r="B489" s="15"/>
      <c r="C489" s="37"/>
      <c r="D489" s="37"/>
      <c r="E489" s="37"/>
      <c r="F489" s="37"/>
      <c r="G489" s="32"/>
      <c r="H489" s="32"/>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row>
    <row r="490" spans="1:44" ht="15">
      <c r="A490" s="37"/>
      <c r="B490" s="15"/>
      <c r="C490" s="37"/>
      <c r="D490" s="37"/>
      <c r="E490" s="37"/>
      <c r="F490" s="37"/>
      <c r="G490" s="32"/>
      <c r="H490" s="32"/>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row>
    <row r="491" spans="1:44" ht="15">
      <c r="A491" s="37"/>
      <c r="B491" s="15"/>
      <c r="C491" s="37"/>
      <c r="D491" s="37"/>
      <c r="E491" s="37"/>
      <c r="F491" s="37"/>
      <c r="G491" s="32"/>
      <c r="H491" s="32"/>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row>
    <row r="492" spans="1:44" ht="15">
      <c r="A492" s="37"/>
      <c r="B492" s="15"/>
      <c r="C492" s="37"/>
      <c r="D492" s="37"/>
      <c r="E492" s="37"/>
      <c r="F492" s="37"/>
      <c r="G492" s="32"/>
      <c r="H492" s="32"/>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row>
    <row r="493" spans="1:44" ht="15">
      <c r="A493" s="37"/>
      <c r="B493" s="15"/>
      <c r="C493" s="37"/>
      <c r="D493" s="37"/>
      <c r="E493" s="37"/>
      <c r="F493" s="37"/>
      <c r="G493" s="32"/>
      <c r="H493" s="32"/>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row>
    <row r="494" spans="1:44" ht="15">
      <c r="A494" s="37"/>
      <c r="B494" s="15"/>
      <c r="C494" s="37"/>
      <c r="D494" s="37"/>
      <c r="E494" s="37"/>
      <c r="F494" s="37"/>
      <c r="G494" s="32"/>
      <c r="H494" s="32"/>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row>
    <row r="495" spans="1:44" ht="15">
      <c r="A495" s="37"/>
      <c r="B495" s="15"/>
      <c r="C495" s="37"/>
      <c r="D495" s="37"/>
      <c r="E495" s="37"/>
      <c r="F495" s="37"/>
      <c r="G495" s="32"/>
      <c r="H495" s="32"/>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row>
    <row r="496" spans="1:44" ht="15">
      <c r="A496" s="37"/>
      <c r="B496" s="15"/>
      <c r="C496" s="37"/>
      <c r="D496" s="37"/>
      <c r="E496" s="37"/>
      <c r="F496" s="37"/>
      <c r="G496" s="32"/>
      <c r="H496" s="32"/>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row>
    <row r="497" spans="1:44" ht="15">
      <c r="A497" s="37"/>
      <c r="B497" s="15"/>
      <c r="C497" s="37"/>
      <c r="D497" s="37"/>
      <c r="E497" s="37"/>
      <c r="F497" s="37"/>
      <c r="G497" s="32"/>
      <c r="H497" s="32"/>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row>
    <row r="498" spans="1:44" ht="15">
      <c r="A498" s="37"/>
      <c r="B498" s="15"/>
      <c r="C498" s="37"/>
      <c r="D498" s="37"/>
      <c r="E498" s="37"/>
      <c r="F498" s="37"/>
      <c r="G498" s="32"/>
      <c r="H498" s="32"/>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row>
    <row r="499" spans="1:44" ht="15">
      <c r="A499" s="37"/>
      <c r="B499" s="15"/>
      <c r="C499" s="37"/>
      <c r="D499" s="37"/>
      <c r="E499" s="37"/>
      <c r="F499" s="37"/>
      <c r="G499" s="32"/>
      <c r="H499" s="32"/>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row>
    <row r="500" spans="1:44" ht="15">
      <c r="A500" s="37"/>
      <c r="B500" s="15"/>
      <c r="C500" s="37"/>
      <c r="D500" s="37"/>
      <c r="E500" s="37"/>
      <c r="F500" s="37"/>
      <c r="G500" s="32"/>
      <c r="H500" s="32"/>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row>
    <row r="501" spans="1:44" ht="15">
      <c r="A501" s="37"/>
      <c r="B501" s="15"/>
      <c r="C501" s="37"/>
      <c r="D501" s="37"/>
      <c r="E501" s="37"/>
      <c r="F501" s="37"/>
      <c r="G501" s="32"/>
      <c r="H501" s="32"/>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row>
    <row r="502" spans="1:44" ht="15">
      <c r="A502" s="37"/>
      <c r="B502" s="15"/>
      <c r="C502" s="37"/>
      <c r="D502" s="37"/>
      <c r="E502" s="37"/>
      <c r="F502" s="37"/>
      <c r="G502" s="32"/>
      <c r="H502" s="32"/>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row>
    <row r="503" spans="1:44" ht="15">
      <c r="A503" s="37"/>
      <c r="B503" s="15"/>
      <c r="C503" s="37"/>
      <c r="D503" s="37"/>
      <c r="E503" s="37"/>
      <c r="F503" s="37"/>
      <c r="G503" s="32"/>
      <c r="H503" s="32"/>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row>
    <row r="504" spans="1:44" ht="15">
      <c r="A504" s="37"/>
      <c r="B504" s="15"/>
      <c r="C504" s="37"/>
      <c r="D504" s="37"/>
      <c r="E504" s="37"/>
      <c r="F504" s="37"/>
      <c r="G504" s="32"/>
      <c r="H504" s="32"/>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row>
    <row r="505" spans="1:44" ht="15">
      <c r="A505" s="37"/>
      <c r="B505" s="15"/>
      <c r="C505" s="37"/>
      <c r="D505" s="37"/>
      <c r="E505" s="37"/>
      <c r="F505" s="37"/>
      <c r="G505" s="32"/>
      <c r="H505" s="32"/>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row>
    <row r="506" spans="1:44" ht="15">
      <c r="A506" s="37"/>
      <c r="B506" s="15"/>
      <c r="C506" s="37"/>
      <c r="D506" s="37"/>
      <c r="E506" s="37"/>
      <c r="F506" s="37"/>
      <c r="G506" s="32"/>
      <c r="H506" s="32"/>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row>
    <row r="507" spans="1:44" ht="15">
      <c r="A507" s="37"/>
      <c r="B507" s="15"/>
      <c r="C507" s="37"/>
      <c r="D507" s="37"/>
      <c r="E507" s="37"/>
      <c r="F507" s="37"/>
      <c r="G507" s="32"/>
      <c r="H507" s="32"/>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row>
    <row r="508" spans="1:44" ht="15">
      <c r="A508" s="37"/>
      <c r="B508" s="15"/>
      <c r="C508" s="37"/>
      <c r="D508" s="37"/>
      <c r="E508" s="37"/>
      <c r="F508" s="37"/>
      <c r="G508" s="32"/>
      <c r="H508" s="32"/>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row>
    <row r="509" spans="1:44" ht="15">
      <c r="A509" s="37"/>
      <c r="B509" s="15"/>
      <c r="C509" s="37"/>
      <c r="D509" s="37"/>
      <c r="E509" s="37"/>
      <c r="F509" s="37"/>
      <c r="G509" s="32"/>
      <c r="H509" s="32"/>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row>
    <row r="510" spans="1:44" ht="15">
      <c r="A510" s="37"/>
      <c r="B510" s="15"/>
      <c r="C510" s="37"/>
      <c r="D510" s="37"/>
      <c r="E510" s="37"/>
      <c r="F510" s="37"/>
      <c r="G510" s="32"/>
      <c r="H510" s="32"/>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row>
    <row r="511" spans="1:44" ht="15">
      <c r="A511" s="37"/>
      <c r="B511" s="15"/>
      <c r="C511" s="37"/>
      <c r="D511" s="37"/>
      <c r="E511" s="37"/>
      <c r="F511" s="37"/>
      <c r="G511" s="32"/>
      <c r="H511" s="32"/>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row>
    <row r="512" spans="1:44" ht="15">
      <c r="A512" s="37"/>
      <c r="B512" s="15"/>
      <c r="C512" s="37"/>
      <c r="D512" s="37"/>
      <c r="E512" s="37"/>
      <c r="F512" s="37"/>
      <c r="G512" s="32"/>
      <c r="H512" s="32"/>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row>
    <row r="513" spans="1:44" ht="15">
      <c r="A513" s="37"/>
      <c r="B513" s="15"/>
      <c r="C513" s="37"/>
      <c r="D513" s="37"/>
      <c r="E513" s="37"/>
      <c r="F513" s="37"/>
      <c r="G513" s="32"/>
      <c r="H513" s="32"/>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row>
    <row r="514" spans="1:44" ht="15">
      <c r="A514" s="37"/>
      <c r="B514" s="15"/>
      <c r="C514" s="37"/>
      <c r="D514" s="37"/>
      <c r="E514" s="37"/>
      <c r="F514" s="37"/>
      <c r="G514" s="32"/>
      <c r="H514" s="32"/>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row>
    <row r="515" spans="1:44" ht="15">
      <c r="A515" s="37"/>
      <c r="B515" s="15"/>
      <c r="C515" s="37"/>
      <c r="D515" s="37"/>
      <c r="E515" s="37"/>
      <c r="F515" s="37"/>
      <c r="G515" s="32"/>
      <c r="H515" s="32"/>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row>
    <row r="516" spans="1:44" ht="15">
      <c r="A516" s="37"/>
      <c r="B516" s="15"/>
      <c r="C516" s="37"/>
      <c r="D516" s="37"/>
      <c r="E516" s="37"/>
      <c r="F516" s="37"/>
      <c r="G516" s="32"/>
      <c r="H516" s="32"/>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row>
    <row r="517" spans="1:44" ht="15">
      <c r="A517" s="37"/>
      <c r="B517" s="15"/>
      <c r="C517" s="37"/>
      <c r="D517" s="37"/>
      <c r="E517" s="37"/>
      <c r="F517" s="37"/>
      <c r="G517" s="32"/>
      <c r="H517" s="32"/>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row>
    <row r="518" spans="1:44" ht="15">
      <c r="A518" s="37"/>
      <c r="B518" s="15"/>
      <c r="C518" s="37"/>
      <c r="D518" s="37"/>
      <c r="E518" s="37"/>
      <c r="F518" s="37"/>
      <c r="G518" s="32"/>
      <c r="H518" s="32"/>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row>
    <row r="519" spans="1:44" ht="15">
      <c r="A519" s="37"/>
      <c r="B519" s="15"/>
      <c r="C519" s="37"/>
      <c r="D519" s="37"/>
      <c r="E519" s="37"/>
      <c r="F519" s="37"/>
      <c r="G519" s="32"/>
      <c r="H519" s="32"/>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row>
    <row r="520" spans="1:44" ht="15">
      <c r="A520" s="37"/>
      <c r="B520" s="15"/>
      <c r="C520" s="37"/>
      <c r="D520" s="37"/>
      <c r="E520" s="37"/>
      <c r="F520" s="37"/>
      <c r="G520" s="32"/>
      <c r="H520" s="32"/>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row>
    <row r="521" spans="1:44" ht="15">
      <c r="A521" s="37"/>
      <c r="B521" s="15"/>
      <c r="C521" s="37"/>
      <c r="D521" s="37"/>
      <c r="E521" s="37"/>
      <c r="F521" s="37"/>
      <c r="G521" s="32"/>
      <c r="H521" s="32"/>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row>
    <row r="522" spans="1:44" ht="15">
      <c r="A522" s="37"/>
      <c r="B522" s="15"/>
      <c r="C522" s="37"/>
      <c r="D522" s="37"/>
      <c r="E522" s="37"/>
      <c r="F522" s="37"/>
      <c r="G522" s="32"/>
      <c r="H522" s="32"/>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row>
    <row r="523" spans="1:44" ht="15">
      <c r="A523" s="37"/>
      <c r="B523" s="15"/>
      <c r="C523" s="37"/>
      <c r="D523" s="37"/>
      <c r="E523" s="37"/>
      <c r="F523" s="37"/>
      <c r="G523" s="32"/>
      <c r="H523" s="32"/>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row>
    <row r="524" spans="1:44" ht="15">
      <c r="A524" s="37"/>
      <c r="B524" s="15"/>
      <c r="C524" s="37"/>
      <c r="D524" s="37"/>
      <c r="E524" s="37"/>
      <c r="F524" s="37"/>
      <c r="G524" s="32"/>
      <c r="H524" s="32"/>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row>
    <row r="525" spans="1:44" ht="15">
      <c r="A525" s="37"/>
      <c r="B525" s="15"/>
      <c r="C525" s="37"/>
      <c r="D525" s="37"/>
      <c r="E525" s="37"/>
      <c r="F525" s="37"/>
      <c r="G525" s="32"/>
      <c r="H525" s="32"/>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row>
    <row r="526" spans="1:44" ht="15">
      <c r="A526" s="37"/>
      <c r="B526" s="15"/>
      <c r="C526" s="37"/>
      <c r="D526" s="37"/>
      <c r="E526" s="37"/>
      <c r="F526" s="37"/>
      <c r="G526" s="32"/>
      <c r="H526" s="32"/>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row>
    <row r="527" spans="1:44" ht="15">
      <c r="A527" s="37"/>
      <c r="B527" s="15"/>
      <c r="C527" s="37"/>
      <c r="D527" s="37"/>
      <c r="E527" s="37"/>
      <c r="F527" s="37"/>
      <c r="G527" s="32"/>
      <c r="H527" s="32"/>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row>
    <row r="528" spans="1:44" ht="15">
      <c r="A528" s="37"/>
      <c r="B528" s="15"/>
      <c r="C528" s="37"/>
      <c r="D528" s="37"/>
      <c r="E528" s="37"/>
      <c r="F528" s="37"/>
      <c r="G528" s="32"/>
      <c r="H528" s="32"/>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row>
    <row r="529" spans="1:44" ht="15">
      <c r="A529" s="37"/>
      <c r="B529" s="15"/>
      <c r="C529" s="37"/>
      <c r="D529" s="37"/>
      <c r="E529" s="37"/>
      <c r="F529" s="37"/>
      <c r="G529" s="32"/>
      <c r="H529" s="32"/>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row>
    <row r="530" spans="1:44" ht="15">
      <c r="A530" s="37"/>
      <c r="B530" s="15"/>
      <c r="C530" s="37"/>
      <c r="D530" s="37"/>
      <c r="E530" s="37"/>
      <c r="F530" s="37"/>
      <c r="G530" s="32"/>
      <c r="H530" s="32"/>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row>
    <row r="531" spans="1:44" ht="15">
      <c r="A531" s="37"/>
      <c r="B531" s="15"/>
      <c r="C531" s="37"/>
      <c r="D531" s="37"/>
      <c r="E531" s="37"/>
      <c r="F531" s="37"/>
      <c r="G531" s="32"/>
      <c r="H531" s="32"/>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row>
    <row r="532" spans="1:44" ht="15">
      <c r="A532" s="37"/>
      <c r="B532" s="15"/>
      <c r="C532" s="37"/>
      <c r="D532" s="37"/>
      <c r="E532" s="37"/>
      <c r="F532" s="37"/>
      <c r="G532" s="32"/>
      <c r="H532" s="32"/>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row>
    <row r="533" spans="1:44" ht="15">
      <c r="A533" s="37"/>
      <c r="B533" s="15"/>
      <c r="C533" s="37"/>
      <c r="D533" s="37"/>
      <c r="E533" s="37"/>
      <c r="F533" s="37"/>
      <c r="G533" s="32"/>
      <c r="H533" s="32"/>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row>
    <row r="534" spans="1:44" ht="15">
      <c r="A534" s="37"/>
      <c r="B534" s="15"/>
      <c r="C534" s="37"/>
      <c r="D534" s="37"/>
      <c r="E534" s="37"/>
      <c r="F534" s="37"/>
      <c r="G534" s="32"/>
      <c r="H534" s="32"/>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row>
    <row r="535" spans="1:44" ht="15">
      <c r="A535" s="37"/>
      <c r="B535" s="15"/>
      <c r="C535" s="37"/>
      <c r="D535" s="37"/>
      <c r="E535" s="37"/>
      <c r="F535" s="37"/>
      <c r="G535" s="32"/>
      <c r="H535" s="32"/>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row>
    <row r="536" spans="1:44" ht="15">
      <c r="A536" s="37"/>
      <c r="B536" s="15"/>
      <c r="C536" s="37"/>
      <c r="D536" s="37"/>
      <c r="E536" s="37"/>
      <c r="F536" s="37"/>
      <c r="G536" s="32"/>
      <c r="H536" s="32"/>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row>
    <row r="537" spans="1:44" ht="15">
      <c r="A537" s="37"/>
      <c r="B537" s="15"/>
      <c r="C537" s="37"/>
      <c r="D537" s="37"/>
      <c r="E537" s="37"/>
      <c r="F537" s="37"/>
      <c r="G537" s="32"/>
      <c r="H537" s="32"/>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row>
    <row r="538" spans="1:44" ht="15">
      <c r="A538" s="37"/>
      <c r="B538" s="15"/>
      <c r="C538" s="37"/>
      <c r="D538" s="37"/>
      <c r="E538" s="37"/>
      <c r="F538" s="37"/>
      <c r="G538" s="32"/>
      <c r="H538" s="32"/>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row>
    <row r="539" spans="1:44" ht="15">
      <c r="A539" s="37"/>
      <c r="B539" s="15"/>
      <c r="C539" s="37"/>
      <c r="D539" s="37"/>
      <c r="E539" s="37"/>
      <c r="F539" s="37"/>
      <c r="G539" s="32"/>
      <c r="H539" s="32"/>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row>
    <row r="540" spans="1:44" ht="15">
      <c r="A540" s="37"/>
      <c r="B540" s="15"/>
      <c r="C540" s="37"/>
      <c r="D540" s="37"/>
      <c r="E540" s="37"/>
      <c r="F540" s="37"/>
      <c r="G540" s="32"/>
      <c r="H540" s="32"/>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row>
    <row r="541" spans="1:44" ht="15">
      <c r="A541" s="37"/>
      <c r="B541" s="15"/>
      <c r="C541" s="37"/>
      <c r="D541" s="37"/>
      <c r="E541" s="37"/>
      <c r="F541" s="37"/>
      <c r="G541" s="32"/>
      <c r="H541" s="32"/>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row>
    <row r="542" spans="1:44" ht="15">
      <c r="A542" s="37"/>
      <c r="B542" s="15"/>
      <c r="C542" s="37"/>
      <c r="D542" s="37"/>
      <c r="E542" s="37"/>
      <c r="F542" s="37"/>
      <c r="G542" s="32"/>
      <c r="H542" s="32"/>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row>
    <row r="543" spans="1:44" ht="15">
      <c r="A543" s="37"/>
      <c r="B543" s="15"/>
      <c r="C543" s="37"/>
      <c r="D543" s="37"/>
      <c r="E543" s="37"/>
      <c r="F543" s="37"/>
      <c r="G543" s="32"/>
      <c r="H543" s="32"/>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row>
    <row r="544" spans="1:44" ht="15">
      <c r="A544" s="37"/>
      <c r="B544" s="15"/>
      <c r="C544" s="37"/>
      <c r="D544" s="37"/>
      <c r="E544" s="37"/>
      <c r="F544" s="37"/>
      <c r="G544" s="32"/>
      <c r="H544" s="32"/>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row>
    <row r="545" spans="1:44" ht="15">
      <c r="A545" s="37"/>
      <c r="B545" s="15"/>
      <c r="C545" s="37"/>
      <c r="D545" s="37"/>
      <c r="E545" s="37"/>
      <c r="F545" s="37"/>
      <c r="G545" s="32"/>
      <c r="H545" s="32"/>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row>
    <row r="546" spans="1:44" ht="15">
      <c r="A546" s="37"/>
      <c r="B546" s="15"/>
      <c r="C546" s="37"/>
      <c r="D546" s="37"/>
      <c r="E546" s="37"/>
      <c r="F546" s="37"/>
      <c r="G546" s="32"/>
      <c r="H546" s="32"/>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row>
    <row r="547" spans="1:44" ht="15">
      <c r="A547" s="37"/>
      <c r="B547" s="15"/>
      <c r="C547" s="37"/>
      <c r="D547" s="37"/>
      <c r="E547" s="37"/>
      <c r="F547" s="37"/>
      <c r="G547" s="32"/>
      <c r="H547" s="32"/>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row>
    <row r="548" spans="1:44" ht="15">
      <c r="A548" s="37"/>
      <c r="B548" s="15"/>
      <c r="C548" s="37"/>
      <c r="D548" s="37"/>
      <c r="E548" s="37"/>
      <c r="F548" s="37"/>
      <c r="G548" s="32"/>
      <c r="H548" s="32"/>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row>
    <row r="549" spans="1:44" ht="15">
      <c r="A549" s="37"/>
      <c r="B549" s="15"/>
      <c r="C549" s="37"/>
      <c r="D549" s="37"/>
      <c r="E549" s="37"/>
      <c r="F549" s="37"/>
      <c r="G549" s="32"/>
      <c r="H549" s="32"/>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row>
    <row r="550" spans="1:44" ht="15">
      <c r="A550" s="37"/>
      <c r="B550" s="15"/>
      <c r="C550" s="37"/>
      <c r="D550" s="37"/>
      <c r="E550" s="37"/>
      <c r="F550" s="37"/>
      <c r="G550" s="32"/>
      <c r="H550" s="32"/>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row>
    <row r="551" spans="1:44" ht="15">
      <c r="A551" s="37"/>
      <c r="B551" s="15"/>
      <c r="C551" s="37"/>
      <c r="D551" s="37"/>
      <c r="E551" s="37"/>
      <c r="F551" s="37"/>
      <c r="G551" s="32"/>
      <c r="H551" s="32"/>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row>
    <row r="552" spans="1:44" ht="15">
      <c r="A552" s="37"/>
      <c r="B552" s="15"/>
      <c r="C552" s="37"/>
      <c r="D552" s="37"/>
      <c r="E552" s="37"/>
      <c r="F552" s="37"/>
      <c r="G552" s="32"/>
      <c r="H552" s="32"/>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row>
    <row r="553" spans="1:44" ht="15">
      <c r="A553" s="37"/>
      <c r="B553" s="15"/>
      <c r="C553" s="37"/>
      <c r="D553" s="37"/>
      <c r="E553" s="37"/>
      <c r="F553" s="37"/>
      <c r="G553" s="32"/>
      <c r="H553" s="32"/>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row>
    <row r="554" spans="1:44" ht="15">
      <c r="A554" s="37"/>
      <c r="B554" s="15"/>
      <c r="C554" s="37"/>
      <c r="D554" s="37"/>
      <c r="E554" s="37"/>
      <c r="F554" s="37"/>
      <c r="G554" s="32"/>
      <c r="H554" s="32"/>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row>
    <row r="555" spans="1:44" ht="15">
      <c r="A555" s="37"/>
      <c r="B555" s="15"/>
      <c r="C555" s="37"/>
      <c r="D555" s="37"/>
      <c r="E555" s="37"/>
      <c r="F555" s="37"/>
      <c r="G555" s="32"/>
      <c r="H555" s="32"/>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row>
    <row r="556" spans="1:44" ht="15">
      <c r="A556" s="37"/>
      <c r="B556" s="15"/>
      <c r="C556" s="37"/>
      <c r="D556" s="37"/>
      <c r="E556" s="37"/>
      <c r="F556" s="37"/>
      <c r="G556" s="32"/>
      <c r="H556" s="32"/>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row>
    <row r="557" spans="1:44" ht="15">
      <c r="A557" s="37"/>
      <c r="B557" s="15"/>
      <c r="C557" s="37"/>
      <c r="D557" s="37"/>
      <c r="E557" s="37"/>
      <c r="F557" s="37"/>
      <c r="G557" s="32"/>
      <c r="H557" s="32"/>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row>
    <row r="558" spans="1:44" ht="15">
      <c r="A558" s="37"/>
      <c r="B558" s="15"/>
      <c r="C558" s="37"/>
      <c r="D558" s="37"/>
      <c r="E558" s="37"/>
      <c r="F558" s="37"/>
      <c r="G558" s="32"/>
      <c r="H558" s="32"/>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row>
    <row r="559" spans="1:44" ht="15">
      <c r="A559" s="37"/>
      <c r="B559" s="15"/>
      <c r="C559" s="37"/>
      <c r="D559" s="37"/>
      <c r="E559" s="37"/>
      <c r="F559" s="37"/>
      <c r="G559" s="32"/>
      <c r="H559" s="32"/>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row>
    <row r="560" spans="1:44" ht="15">
      <c r="A560" s="37"/>
      <c r="B560" s="15"/>
      <c r="C560" s="37"/>
      <c r="D560" s="37"/>
      <c r="E560" s="37"/>
      <c r="F560" s="37"/>
      <c r="G560" s="32"/>
      <c r="H560" s="32"/>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row>
    <row r="561" spans="1:44" ht="15">
      <c r="A561" s="37"/>
      <c r="B561" s="15"/>
      <c r="C561" s="37"/>
      <c r="D561" s="37"/>
      <c r="E561" s="37"/>
      <c r="F561" s="37"/>
      <c r="G561" s="32"/>
      <c r="H561" s="32"/>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row>
    <row r="562" spans="1:44" ht="15">
      <c r="A562" s="37"/>
      <c r="B562" s="15"/>
      <c r="C562" s="37"/>
      <c r="D562" s="37"/>
      <c r="E562" s="37"/>
      <c r="F562" s="37"/>
      <c r="G562" s="32"/>
      <c r="H562" s="32"/>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row>
    <row r="563" spans="1:44" ht="15">
      <c r="A563" s="37"/>
      <c r="B563" s="15"/>
      <c r="C563" s="37"/>
      <c r="D563" s="37"/>
      <c r="E563" s="37"/>
      <c r="F563" s="37"/>
      <c r="G563" s="32"/>
      <c r="H563" s="32"/>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row>
    <row r="564" spans="1:44" ht="15">
      <c r="A564" s="37"/>
      <c r="B564" s="15"/>
      <c r="C564" s="37"/>
      <c r="D564" s="37"/>
      <c r="E564" s="37"/>
      <c r="F564" s="37"/>
      <c r="G564" s="32"/>
      <c r="H564" s="32"/>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row>
    <row r="565" spans="1:44" ht="15">
      <c r="A565" s="37"/>
      <c r="B565" s="15"/>
      <c r="C565" s="37"/>
      <c r="D565" s="37"/>
      <c r="E565" s="37"/>
      <c r="F565" s="37"/>
      <c r="G565" s="32"/>
      <c r="H565" s="32"/>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row>
    <row r="566" spans="1:44" ht="15">
      <c r="A566" s="37"/>
      <c r="B566" s="15"/>
      <c r="C566" s="37"/>
      <c r="D566" s="37"/>
      <c r="E566" s="37"/>
      <c r="F566" s="37"/>
      <c r="G566" s="32"/>
      <c r="H566" s="32"/>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row>
    <row r="567" spans="1:44" ht="15">
      <c r="A567" s="37"/>
      <c r="B567" s="15"/>
      <c r="C567" s="37"/>
      <c r="D567" s="37"/>
      <c r="E567" s="37"/>
      <c r="F567" s="37"/>
      <c r="G567" s="32"/>
      <c r="H567" s="32"/>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row>
    <row r="568" spans="1:44" ht="15">
      <c r="A568" s="37"/>
      <c r="B568" s="15"/>
      <c r="C568" s="37"/>
      <c r="D568" s="37"/>
      <c r="E568" s="37"/>
      <c r="F568" s="37"/>
      <c r="G568" s="32"/>
      <c r="H568" s="32"/>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row>
    <row r="569" spans="1:44" ht="15">
      <c r="A569" s="37"/>
      <c r="B569" s="15"/>
      <c r="C569" s="37"/>
      <c r="D569" s="37"/>
      <c r="E569" s="37"/>
      <c r="F569" s="37"/>
      <c r="G569" s="32"/>
      <c r="H569" s="32"/>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row>
    <row r="570" spans="1:44" ht="15">
      <c r="A570" s="37"/>
      <c r="B570" s="15"/>
      <c r="C570" s="37"/>
      <c r="D570" s="37"/>
      <c r="E570" s="37"/>
      <c r="F570" s="37"/>
      <c r="G570" s="32"/>
      <c r="H570" s="32"/>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row>
    <row r="571" spans="1:44" ht="15">
      <c r="A571" s="37"/>
      <c r="B571" s="15"/>
      <c r="C571" s="37"/>
      <c r="D571" s="37"/>
      <c r="E571" s="37"/>
      <c r="F571" s="37"/>
      <c r="G571" s="32"/>
      <c r="H571" s="32"/>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row>
    <row r="572" spans="1:44" ht="15">
      <c r="A572" s="37"/>
      <c r="B572" s="15"/>
      <c r="C572" s="37"/>
      <c r="D572" s="37"/>
      <c r="E572" s="37"/>
      <c r="F572" s="37"/>
      <c r="G572" s="32"/>
      <c r="H572" s="32"/>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row>
    <row r="573" spans="1:44" ht="15">
      <c r="A573" s="37"/>
      <c r="B573" s="15"/>
      <c r="C573" s="37"/>
      <c r="D573" s="37"/>
      <c r="E573" s="37"/>
      <c r="F573" s="37"/>
      <c r="G573" s="32"/>
      <c r="H573" s="32"/>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row>
    <row r="574" spans="1:44" ht="15">
      <c r="A574" s="37"/>
      <c r="B574" s="15"/>
      <c r="C574" s="37"/>
      <c r="D574" s="37"/>
      <c r="E574" s="37"/>
      <c r="F574" s="37"/>
      <c r="G574" s="32"/>
      <c r="H574" s="32"/>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row>
    <row r="575" spans="1:44" ht="15">
      <c r="A575" s="37"/>
      <c r="B575" s="15"/>
      <c r="C575" s="37"/>
      <c r="D575" s="37"/>
      <c r="E575" s="37"/>
      <c r="F575" s="37"/>
      <c r="G575" s="32"/>
      <c r="H575" s="32"/>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row>
    <row r="576" spans="1:44" ht="15">
      <c r="A576" s="37"/>
      <c r="B576" s="15"/>
      <c r="C576" s="37"/>
      <c r="D576" s="37"/>
      <c r="E576" s="37"/>
      <c r="F576" s="37"/>
      <c r="G576" s="32"/>
      <c r="H576" s="32"/>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row>
    <row r="577" spans="1:44" ht="15">
      <c r="A577" s="37"/>
      <c r="B577" s="15"/>
      <c r="C577" s="37"/>
      <c r="D577" s="37"/>
      <c r="E577" s="37"/>
      <c r="F577" s="37"/>
      <c r="G577" s="32"/>
      <c r="H577" s="32"/>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row>
    <row r="578" spans="1:44" ht="15">
      <c r="A578" s="37"/>
      <c r="B578" s="15"/>
      <c r="C578" s="37"/>
      <c r="D578" s="37"/>
      <c r="E578" s="37"/>
      <c r="F578" s="37"/>
      <c r="G578" s="32"/>
      <c r="H578" s="32"/>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row>
    <row r="579" spans="1:44" ht="15">
      <c r="A579" s="37"/>
      <c r="B579" s="15"/>
      <c r="C579" s="37"/>
      <c r="D579" s="37"/>
      <c r="E579" s="37"/>
      <c r="F579" s="37"/>
      <c r="G579" s="32"/>
      <c r="H579" s="32"/>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row>
    <row r="580" spans="1:44" ht="15">
      <c r="A580" s="37"/>
      <c r="B580" s="15"/>
      <c r="C580" s="37"/>
      <c r="D580" s="37"/>
      <c r="E580" s="37"/>
      <c r="F580" s="37"/>
      <c r="G580" s="32"/>
      <c r="H580" s="32"/>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row>
    <row r="581" spans="1:44" ht="15">
      <c r="A581" s="37"/>
      <c r="B581" s="15"/>
      <c r="C581" s="37"/>
      <c r="D581" s="37"/>
      <c r="E581" s="37"/>
      <c r="F581" s="37"/>
      <c r="G581" s="32"/>
      <c r="H581" s="32"/>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row>
    <row r="582" spans="1:44" ht="15">
      <c r="A582" s="37"/>
      <c r="B582" s="15"/>
      <c r="C582" s="37"/>
      <c r="D582" s="37"/>
      <c r="E582" s="37"/>
      <c r="F582" s="37"/>
      <c r="G582" s="32"/>
      <c r="H582" s="32"/>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row>
    <row r="583" spans="1:44" ht="15">
      <c r="A583" s="37"/>
      <c r="B583" s="15"/>
      <c r="C583" s="37"/>
      <c r="D583" s="37"/>
      <c r="E583" s="37"/>
      <c r="F583" s="37"/>
      <c r="G583" s="32"/>
      <c r="H583" s="32"/>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row>
    <row r="584" spans="1:44" ht="15">
      <c r="A584" s="37"/>
      <c r="B584" s="15"/>
      <c r="C584" s="37"/>
      <c r="D584" s="37"/>
      <c r="E584" s="37"/>
      <c r="F584" s="37"/>
      <c r="G584" s="32"/>
      <c r="H584" s="32"/>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row>
    <row r="585" spans="1:44" ht="15">
      <c r="A585" s="37"/>
      <c r="B585" s="15"/>
      <c r="C585" s="37"/>
      <c r="D585" s="37"/>
      <c r="E585" s="37"/>
      <c r="F585" s="37"/>
      <c r="G585" s="32"/>
      <c r="H585" s="32"/>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row>
    <row r="586" spans="1:44" ht="15">
      <c r="A586" s="37"/>
      <c r="B586" s="15"/>
      <c r="C586" s="37"/>
      <c r="D586" s="37"/>
      <c r="E586" s="37"/>
      <c r="F586" s="37"/>
      <c r="G586" s="32"/>
      <c r="H586" s="32"/>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row>
    <row r="587" spans="1:44" ht="15">
      <c r="A587" s="37"/>
      <c r="B587" s="15"/>
      <c r="C587" s="37"/>
      <c r="D587" s="37"/>
      <c r="E587" s="37"/>
      <c r="F587" s="37"/>
      <c r="G587" s="32"/>
      <c r="H587" s="32"/>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row>
    <row r="588" spans="1:44" ht="15">
      <c r="A588" s="37"/>
      <c r="B588" s="15"/>
      <c r="C588" s="37"/>
      <c r="D588" s="37"/>
      <c r="E588" s="37"/>
      <c r="F588" s="37"/>
      <c r="G588" s="32"/>
      <c r="H588" s="32"/>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row>
    <row r="589" spans="1:44" ht="15">
      <c r="A589" s="37"/>
      <c r="B589" s="15"/>
      <c r="C589" s="37"/>
      <c r="D589" s="37"/>
      <c r="E589" s="37"/>
      <c r="F589" s="37"/>
      <c r="G589" s="32"/>
      <c r="H589" s="32"/>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row>
    <row r="590" spans="1:44" ht="15">
      <c r="A590" s="37"/>
      <c r="B590" s="15"/>
      <c r="C590" s="37"/>
      <c r="D590" s="37"/>
      <c r="E590" s="37"/>
      <c r="F590" s="37"/>
      <c r="G590" s="32"/>
      <c r="H590" s="32"/>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row>
    <row r="591" spans="1:44" ht="15">
      <c r="A591" s="37"/>
      <c r="B591" s="15"/>
      <c r="C591" s="37"/>
      <c r="D591" s="37"/>
      <c r="E591" s="37"/>
      <c r="F591" s="37"/>
      <c r="G591" s="32"/>
      <c r="H591" s="32"/>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row>
    <row r="592" spans="1:44" ht="15">
      <c r="A592" s="37"/>
      <c r="B592" s="15"/>
      <c r="C592" s="37"/>
      <c r="D592" s="37"/>
      <c r="E592" s="37"/>
      <c r="F592" s="37"/>
      <c r="G592" s="32"/>
      <c r="H592" s="32"/>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row>
    <row r="593" spans="1:44" ht="15">
      <c r="A593" s="37"/>
      <c r="B593" s="15"/>
      <c r="C593" s="37"/>
      <c r="D593" s="37"/>
      <c r="E593" s="37"/>
      <c r="F593" s="37"/>
      <c r="G593" s="32"/>
      <c r="H593" s="32"/>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row>
    <row r="594" spans="1:44" ht="15">
      <c r="A594" s="37"/>
      <c r="B594" s="15"/>
      <c r="C594" s="37"/>
      <c r="D594" s="37"/>
      <c r="E594" s="37"/>
      <c r="F594" s="37"/>
      <c r="G594" s="32"/>
      <c r="H594" s="32"/>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row>
    <row r="595" spans="1:44" ht="15">
      <c r="A595" s="37"/>
      <c r="B595" s="15"/>
      <c r="C595" s="37"/>
      <c r="D595" s="37"/>
      <c r="E595" s="37"/>
      <c r="F595" s="37"/>
      <c r="G595" s="32"/>
      <c r="H595" s="32"/>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row>
    <row r="596" spans="1:44" ht="15">
      <c r="A596" s="37"/>
      <c r="B596" s="15"/>
      <c r="C596" s="37"/>
      <c r="D596" s="37"/>
      <c r="E596" s="37"/>
      <c r="F596" s="37"/>
      <c r="G596" s="32"/>
      <c r="H596" s="32"/>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row>
    <row r="597" spans="1:44" ht="15">
      <c r="A597" s="37"/>
      <c r="B597" s="15"/>
      <c r="C597" s="37"/>
      <c r="D597" s="37"/>
      <c r="E597" s="37"/>
      <c r="F597" s="37"/>
      <c r="G597" s="32"/>
      <c r="H597" s="32"/>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row>
    <row r="598" spans="1:44" ht="15">
      <c r="A598" s="37"/>
      <c r="B598" s="15"/>
      <c r="C598" s="37"/>
      <c r="D598" s="37"/>
      <c r="E598" s="37"/>
      <c r="F598" s="37"/>
      <c r="G598" s="32"/>
      <c r="H598" s="32"/>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row>
    <row r="599" spans="1:44" ht="15">
      <c r="A599" s="37"/>
      <c r="B599" s="15"/>
      <c r="C599" s="37"/>
      <c r="D599" s="37"/>
      <c r="E599" s="37"/>
      <c r="F599" s="37"/>
      <c r="G599" s="32"/>
      <c r="H599" s="32"/>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row>
    <row r="600" spans="1:44" ht="15">
      <c r="A600" s="37"/>
      <c r="B600" s="15"/>
      <c r="C600" s="37"/>
      <c r="D600" s="37"/>
      <c r="E600" s="37"/>
      <c r="F600" s="37"/>
      <c r="G600" s="32"/>
      <c r="H600" s="32"/>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row>
    <row r="601" spans="1:44" ht="15">
      <c r="A601" s="37"/>
      <c r="B601" s="15"/>
      <c r="C601" s="37"/>
      <c r="D601" s="37"/>
      <c r="E601" s="37"/>
      <c r="F601" s="37"/>
      <c r="G601" s="32"/>
      <c r="H601" s="32"/>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row>
    <row r="602" spans="1:44" ht="15">
      <c r="A602" s="37"/>
      <c r="B602" s="15"/>
      <c r="C602" s="37"/>
      <c r="D602" s="37"/>
      <c r="E602" s="37"/>
      <c r="F602" s="37"/>
      <c r="G602" s="32"/>
      <c r="H602" s="32"/>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row>
    <row r="603" spans="1:44" ht="15">
      <c r="A603" s="37"/>
      <c r="B603" s="15"/>
      <c r="C603" s="37"/>
      <c r="D603" s="37"/>
      <c r="E603" s="37"/>
      <c r="F603" s="37"/>
      <c r="G603" s="32"/>
      <c r="H603" s="32"/>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row>
    <row r="604" spans="1:44" ht="15">
      <c r="A604" s="37"/>
      <c r="B604" s="15"/>
      <c r="C604" s="37"/>
      <c r="D604" s="37"/>
      <c r="E604" s="37"/>
      <c r="F604" s="37"/>
      <c r="G604" s="32"/>
      <c r="H604" s="32"/>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row>
    <row r="605" spans="1:44" ht="15">
      <c r="A605" s="37"/>
      <c r="B605" s="15"/>
      <c r="C605" s="37"/>
      <c r="D605" s="37"/>
      <c r="E605" s="37"/>
      <c r="F605" s="37"/>
      <c r="G605" s="32"/>
      <c r="H605" s="32"/>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row>
    <row r="606" spans="1:44" ht="15">
      <c r="A606" s="37"/>
      <c r="B606" s="15"/>
      <c r="C606" s="37"/>
      <c r="D606" s="37"/>
      <c r="E606" s="37"/>
      <c r="F606" s="37"/>
      <c r="G606" s="32"/>
      <c r="H606" s="32"/>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row>
    <row r="607" spans="1:44" ht="15">
      <c r="A607" s="37"/>
      <c r="B607" s="15"/>
      <c r="C607" s="37"/>
      <c r="D607" s="37"/>
      <c r="E607" s="37"/>
      <c r="F607" s="37"/>
      <c r="G607" s="32"/>
      <c r="H607" s="32"/>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row>
    <row r="608" spans="1:44" ht="15">
      <c r="A608" s="37"/>
      <c r="B608" s="15"/>
      <c r="C608" s="37"/>
      <c r="D608" s="37"/>
      <c r="E608" s="37"/>
      <c r="F608" s="37"/>
      <c r="G608" s="32"/>
      <c r="H608" s="32"/>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row>
    <row r="609" spans="1:44" ht="15">
      <c r="A609" s="37"/>
      <c r="B609" s="15"/>
      <c r="C609" s="37"/>
      <c r="D609" s="37"/>
      <c r="E609" s="37"/>
      <c r="F609" s="37"/>
      <c r="G609" s="32"/>
      <c r="H609" s="32"/>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row>
    <row r="610" spans="1:44" ht="15">
      <c r="A610" s="37"/>
      <c r="B610" s="15"/>
      <c r="C610" s="37"/>
      <c r="D610" s="37"/>
      <c r="E610" s="37"/>
      <c r="F610" s="37"/>
      <c r="G610" s="32"/>
      <c r="H610" s="32"/>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row>
    <row r="611" spans="1:44" ht="15">
      <c r="A611" s="37"/>
      <c r="B611" s="15"/>
      <c r="C611" s="37"/>
      <c r="D611" s="37"/>
      <c r="E611" s="37"/>
      <c r="F611" s="37"/>
      <c r="G611" s="32"/>
      <c r="H611" s="32"/>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row>
    <row r="612" spans="1:44" ht="15">
      <c r="A612" s="37"/>
      <c r="B612" s="15"/>
      <c r="C612" s="37"/>
      <c r="D612" s="37"/>
      <c r="E612" s="37"/>
      <c r="F612" s="37"/>
      <c r="G612" s="32"/>
      <c r="H612" s="32"/>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row>
    <row r="613" spans="1:44" ht="15">
      <c r="A613" s="37"/>
      <c r="B613" s="15"/>
      <c r="C613" s="37"/>
      <c r="D613" s="37"/>
      <c r="E613" s="37"/>
      <c r="F613" s="37"/>
      <c r="G613" s="32"/>
      <c r="H613" s="32"/>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row>
    <row r="614" spans="1:44" ht="15">
      <c r="A614" s="37"/>
      <c r="B614" s="15"/>
      <c r="C614" s="37"/>
      <c r="D614" s="37"/>
      <c r="E614" s="37"/>
      <c r="F614" s="37"/>
      <c r="G614" s="32"/>
      <c r="H614" s="32"/>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row>
    <row r="615" spans="1:44" ht="15">
      <c r="A615" s="37"/>
      <c r="B615" s="15"/>
      <c r="C615" s="37"/>
      <c r="D615" s="37"/>
      <c r="E615" s="37"/>
      <c r="F615" s="37"/>
      <c r="G615" s="32"/>
      <c r="H615" s="32"/>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row>
    <row r="616" spans="1:44" ht="15">
      <c r="A616" s="37"/>
      <c r="B616" s="15"/>
      <c r="C616" s="37"/>
      <c r="D616" s="37"/>
      <c r="E616" s="37"/>
      <c r="F616" s="37"/>
      <c r="G616" s="32"/>
      <c r="H616" s="32"/>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row>
    <row r="617" spans="1:44" ht="15">
      <c r="A617" s="37"/>
      <c r="B617" s="15"/>
      <c r="C617" s="37"/>
      <c r="D617" s="37"/>
      <c r="E617" s="37"/>
      <c r="F617" s="37"/>
      <c r="G617" s="32"/>
      <c r="H617" s="32"/>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row>
    <row r="618" spans="1:44" ht="15">
      <c r="A618" s="37"/>
      <c r="B618" s="15"/>
      <c r="C618" s="37"/>
      <c r="D618" s="37"/>
      <c r="E618" s="37"/>
      <c r="F618" s="37"/>
      <c r="G618" s="32"/>
      <c r="H618" s="32"/>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row>
    <row r="619" spans="1:44" ht="15">
      <c r="A619" s="37"/>
      <c r="B619" s="15"/>
      <c r="C619" s="37"/>
      <c r="D619" s="37"/>
      <c r="E619" s="37"/>
      <c r="F619" s="37"/>
      <c r="G619" s="32"/>
      <c r="H619" s="32"/>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row>
    <row r="620" spans="1:44" ht="15">
      <c r="A620" s="37"/>
      <c r="B620" s="15"/>
      <c r="C620" s="37"/>
      <c r="D620" s="37"/>
      <c r="E620" s="37"/>
      <c r="F620" s="37"/>
      <c r="G620" s="32"/>
      <c r="H620" s="32"/>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row>
    <row r="621" spans="1:44" ht="15">
      <c r="A621" s="37"/>
      <c r="B621" s="15"/>
      <c r="C621" s="37"/>
      <c r="D621" s="37"/>
      <c r="E621" s="37"/>
      <c r="F621" s="37"/>
      <c r="G621" s="32"/>
      <c r="H621" s="32"/>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row>
    <row r="622" spans="1:44" ht="15">
      <c r="A622" s="37"/>
      <c r="B622" s="15"/>
      <c r="C622" s="37"/>
      <c r="D622" s="37"/>
      <c r="E622" s="37"/>
      <c r="F622" s="37"/>
      <c r="G622" s="32"/>
      <c r="H622" s="32"/>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row>
    <row r="623" spans="1:44" ht="15">
      <c r="A623" s="37"/>
      <c r="B623" s="15"/>
      <c r="C623" s="37"/>
      <c r="D623" s="37"/>
      <c r="E623" s="37"/>
      <c r="F623" s="37"/>
      <c r="G623" s="32"/>
      <c r="H623" s="32"/>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row>
    <row r="624" spans="1:44" ht="15">
      <c r="A624" s="37"/>
      <c r="B624" s="15"/>
      <c r="C624" s="37"/>
      <c r="D624" s="37"/>
      <c r="E624" s="37"/>
      <c r="F624" s="37"/>
      <c r="G624" s="32"/>
      <c r="H624" s="32"/>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row>
    <row r="625" spans="1:44" ht="15">
      <c r="A625" s="37"/>
      <c r="B625" s="15"/>
      <c r="C625" s="37"/>
      <c r="D625" s="37"/>
      <c r="E625" s="37"/>
      <c r="F625" s="37"/>
      <c r="G625" s="32"/>
      <c r="H625" s="32"/>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row>
    <row r="626" spans="1:44" ht="15">
      <c r="A626" s="37"/>
      <c r="B626" s="15"/>
      <c r="C626" s="37"/>
      <c r="D626" s="37"/>
      <c r="E626" s="37"/>
      <c r="F626" s="37"/>
      <c r="G626" s="32"/>
      <c r="H626" s="32"/>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row>
    <row r="627" spans="1:44" ht="15">
      <c r="A627" s="37"/>
      <c r="B627" s="15"/>
      <c r="C627" s="37"/>
      <c r="D627" s="37"/>
      <c r="E627" s="37"/>
      <c r="F627" s="37"/>
      <c r="G627" s="32"/>
      <c r="H627" s="32"/>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row>
    <row r="628" spans="1:44" ht="15">
      <c r="A628" s="37"/>
      <c r="B628" s="15"/>
      <c r="C628" s="37"/>
      <c r="D628" s="37"/>
      <c r="E628" s="37"/>
      <c r="F628" s="37"/>
      <c r="G628" s="32"/>
      <c r="H628" s="32"/>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row>
    <row r="629" spans="1:44" ht="15">
      <c r="A629" s="37"/>
      <c r="B629" s="15"/>
      <c r="C629" s="37"/>
      <c r="D629" s="37"/>
      <c r="E629" s="37"/>
      <c r="F629" s="37"/>
      <c r="G629" s="32"/>
      <c r="H629" s="32"/>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row>
    <row r="630" spans="1:44" ht="15">
      <c r="A630" s="37"/>
      <c r="B630" s="15"/>
      <c r="C630" s="37"/>
      <c r="D630" s="37"/>
      <c r="E630" s="37"/>
      <c r="F630" s="37"/>
      <c r="G630" s="32"/>
      <c r="H630" s="32"/>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row>
    <row r="631" spans="1:44" ht="15">
      <c r="A631" s="37"/>
      <c r="B631" s="15"/>
      <c r="C631" s="37"/>
      <c r="D631" s="37"/>
      <c r="E631" s="37"/>
      <c r="F631" s="37"/>
      <c r="G631" s="32"/>
      <c r="H631" s="32"/>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row>
    <row r="632" spans="1:44" ht="15">
      <c r="A632" s="37"/>
      <c r="B632" s="15"/>
      <c r="C632" s="37"/>
      <c r="D632" s="37"/>
      <c r="E632" s="37"/>
      <c r="F632" s="37"/>
      <c r="G632" s="32"/>
      <c r="H632" s="32"/>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row>
    <row r="633" spans="1:44" ht="15">
      <c r="A633" s="37"/>
      <c r="B633" s="15"/>
      <c r="C633" s="37"/>
      <c r="D633" s="37"/>
      <c r="E633" s="37"/>
      <c r="F633" s="37"/>
      <c r="G633" s="32"/>
      <c r="H633" s="32"/>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row>
    <row r="634" spans="1:44" ht="15">
      <c r="A634" s="37"/>
      <c r="B634" s="15"/>
      <c r="C634" s="37"/>
      <c r="D634" s="37"/>
      <c r="E634" s="37"/>
      <c r="F634" s="37"/>
      <c r="G634" s="32"/>
      <c r="H634" s="32"/>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row>
    <row r="635" spans="1:44" ht="15">
      <c r="A635" s="37"/>
      <c r="B635" s="15"/>
      <c r="C635" s="37"/>
      <c r="D635" s="37"/>
      <c r="E635" s="37"/>
      <c r="F635" s="37"/>
      <c r="G635" s="32"/>
      <c r="H635" s="32"/>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row>
    <row r="636" spans="1:44" ht="15">
      <c r="A636" s="37"/>
      <c r="B636" s="15"/>
      <c r="C636" s="37"/>
      <c r="D636" s="37"/>
      <c r="E636" s="37"/>
      <c r="F636" s="37"/>
      <c r="G636" s="32"/>
      <c r="H636" s="32"/>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row>
    <row r="637" spans="1:44" ht="15">
      <c r="A637" s="37"/>
      <c r="B637" s="15"/>
      <c r="C637" s="37"/>
      <c r="D637" s="37"/>
      <c r="E637" s="37"/>
      <c r="F637" s="37"/>
      <c r="G637" s="32"/>
      <c r="H637" s="32"/>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row>
    <row r="638" spans="1:44" ht="15">
      <c r="A638" s="37"/>
      <c r="B638" s="15"/>
      <c r="C638" s="37"/>
      <c r="D638" s="37"/>
      <c r="E638" s="37"/>
      <c r="F638" s="37"/>
      <c r="G638" s="32"/>
      <c r="H638" s="32"/>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row>
    <row r="639" spans="1:44" ht="15">
      <c r="A639" s="37"/>
      <c r="B639" s="15"/>
      <c r="C639" s="37"/>
      <c r="D639" s="37"/>
      <c r="E639" s="37"/>
      <c r="F639" s="37"/>
      <c r="G639" s="32"/>
      <c r="H639" s="32"/>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row>
    <row r="640" spans="1:44" ht="15">
      <c r="A640" s="37"/>
      <c r="B640" s="15"/>
      <c r="C640" s="37"/>
      <c r="D640" s="37"/>
      <c r="E640" s="37"/>
      <c r="F640" s="37"/>
      <c r="G640" s="32"/>
      <c r="H640" s="32"/>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row>
    <row r="641" spans="1:44" ht="15">
      <c r="A641" s="37"/>
      <c r="B641" s="15"/>
      <c r="C641" s="37"/>
      <c r="D641" s="37"/>
      <c r="E641" s="37"/>
      <c r="F641" s="37"/>
      <c r="G641" s="32"/>
      <c r="H641" s="32"/>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row>
    <row r="642" spans="1:44" ht="15">
      <c r="A642" s="37"/>
      <c r="B642" s="15"/>
      <c r="C642" s="37"/>
      <c r="D642" s="37"/>
      <c r="E642" s="37"/>
      <c r="F642" s="37"/>
      <c r="G642" s="32"/>
      <c r="H642" s="32"/>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row>
    <row r="643" spans="1:44" ht="15">
      <c r="A643" s="37"/>
      <c r="B643" s="15"/>
      <c r="C643" s="37"/>
      <c r="D643" s="37"/>
      <c r="E643" s="37"/>
      <c r="F643" s="37"/>
      <c r="G643" s="32"/>
      <c r="H643" s="32"/>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row>
    <row r="644" spans="1:44" ht="15">
      <c r="A644" s="37"/>
      <c r="B644" s="15"/>
      <c r="C644" s="37"/>
      <c r="D644" s="37"/>
      <c r="E644" s="37"/>
      <c r="F644" s="37"/>
      <c r="G644" s="32"/>
      <c r="H644" s="32"/>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row>
    <row r="645" spans="1:44" ht="15">
      <c r="A645" s="37"/>
      <c r="B645" s="15"/>
      <c r="C645" s="37"/>
      <c r="D645" s="37"/>
      <c r="E645" s="37"/>
      <c r="F645" s="37"/>
      <c r="G645" s="32"/>
      <c r="H645" s="32"/>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row>
    <row r="646" spans="1:44" ht="15">
      <c r="A646" s="37"/>
      <c r="B646" s="15"/>
      <c r="C646" s="37"/>
      <c r="D646" s="37"/>
      <c r="E646" s="37"/>
      <c r="F646" s="37"/>
      <c r="G646" s="32"/>
      <c r="H646" s="32"/>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row>
    <row r="647" spans="1:44" ht="15">
      <c r="A647" s="37"/>
      <c r="B647" s="15"/>
      <c r="C647" s="37"/>
      <c r="D647" s="37"/>
      <c r="E647" s="37"/>
      <c r="F647" s="37"/>
      <c r="G647" s="32"/>
      <c r="H647" s="32"/>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row>
    <row r="648" spans="1:44" ht="15">
      <c r="A648" s="37"/>
      <c r="B648" s="15"/>
      <c r="C648" s="37"/>
      <c r="D648" s="37"/>
      <c r="E648" s="37"/>
      <c r="F648" s="37"/>
      <c r="G648" s="32"/>
      <c r="H648" s="32"/>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row>
    <row r="649" spans="1:44" ht="15">
      <c r="A649" s="37"/>
      <c r="B649" s="15"/>
      <c r="C649" s="37"/>
      <c r="D649" s="37"/>
      <c r="E649" s="37"/>
      <c r="F649" s="37"/>
      <c r="G649" s="32"/>
      <c r="H649" s="32"/>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row>
    <row r="650" spans="1:44" ht="15">
      <c r="A650" s="37"/>
      <c r="B650" s="15"/>
      <c r="C650" s="37"/>
      <c r="D650" s="37"/>
      <c r="E650" s="37"/>
      <c r="F650" s="37"/>
      <c r="G650" s="32"/>
      <c r="H650" s="32"/>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row>
    <row r="651" spans="1:44" ht="15">
      <c r="A651" s="37"/>
      <c r="B651" s="15"/>
      <c r="C651" s="37"/>
      <c r="D651" s="37"/>
      <c r="E651" s="37"/>
      <c r="F651" s="37"/>
      <c r="G651" s="32"/>
      <c r="H651" s="32"/>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row>
    <row r="652" spans="1:44" ht="15">
      <c r="A652" s="37"/>
      <c r="B652" s="15"/>
      <c r="C652" s="37"/>
      <c r="D652" s="37"/>
      <c r="E652" s="37"/>
      <c r="F652" s="37"/>
      <c r="G652" s="32"/>
      <c r="H652" s="32"/>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row>
    <row r="653" spans="1:44" ht="15">
      <c r="A653" s="37"/>
      <c r="B653" s="15"/>
      <c r="C653" s="37"/>
      <c r="D653" s="37"/>
      <c r="E653" s="37"/>
      <c r="F653" s="37"/>
      <c r="G653" s="32"/>
      <c r="H653" s="32"/>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row>
    <row r="654" spans="1:44" ht="15">
      <c r="A654" s="37"/>
      <c r="B654" s="15"/>
      <c r="C654" s="37"/>
      <c r="D654" s="37"/>
      <c r="E654" s="37"/>
      <c r="F654" s="37"/>
      <c r="G654" s="32"/>
      <c r="H654" s="32"/>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row>
    <row r="655" spans="1:44" ht="15">
      <c r="A655" s="37"/>
      <c r="B655" s="15"/>
      <c r="C655" s="37"/>
      <c r="D655" s="37"/>
      <c r="E655" s="37"/>
      <c r="F655" s="37"/>
      <c r="G655" s="32"/>
      <c r="H655" s="32"/>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row>
    <row r="656" spans="1:44" ht="15">
      <c r="A656" s="37"/>
      <c r="B656" s="15"/>
      <c r="C656" s="37"/>
      <c r="D656" s="37"/>
      <c r="E656" s="37"/>
      <c r="F656" s="37"/>
      <c r="G656" s="32"/>
      <c r="H656" s="32"/>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row>
    <row r="657" spans="1:44" ht="15">
      <c r="A657" s="37"/>
      <c r="B657" s="15"/>
      <c r="C657" s="37"/>
      <c r="D657" s="37"/>
      <c r="E657" s="37"/>
      <c r="F657" s="37"/>
      <c r="G657" s="32"/>
      <c r="H657" s="32"/>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row>
    <row r="658" spans="1:44" ht="15">
      <c r="A658" s="37"/>
      <c r="B658" s="15"/>
      <c r="C658" s="37"/>
      <c r="D658" s="37"/>
      <c r="E658" s="37"/>
      <c r="F658" s="37"/>
      <c r="G658" s="32"/>
      <c r="H658" s="32"/>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row>
    <row r="659" spans="1:44" ht="15">
      <c r="A659" s="37"/>
      <c r="B659" s="15"/>
      <c r="C659" s="37"/>
      <c r="D659" s="37"/>
      <c r="E659" s="37"/>
      <c r="F659" s="37"/>
      <c r="G659" s="32"/>
      <c r="H659" s="32"/>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row>
    <row r="660" spans="1:44" ht="15">
      <c r="A660" s="37"/>
      <c r="B660" s="15"/>
      <c r="C660" s="37"/>
      <c r="D660" s="37"/>
      <c r="E660" s="37"/>
      <c r="F660" s="37"/>
      <c r="G660" s="32"/>
      <c r="H660" s="32"/>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row>
    <row r="661" spans="1:44" ht="15">
      <c r="A661" s="37"/>
      <c r="B661" s="15"/>
      <c r="C661" s="37"/>
      <c r="D661" s="37"/>
      <c r="E661" s="37"/>
      <c r="F661" s="37"/>
      <c r="G661" s="32"/>
      <c r="H661" s="32"/>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row>
    <row r="662" spans="1:44" ht="15">
      <c r="A662" s="37"/>
      <c r="B662" s="15"/>
      <c r="C662" s="37"/>
      <c r="D662" s="37"/>
      <c r="E662" s="37"/>
      <c r="F662" s="37"/>
      <c r="G662" s="32"/>
      <c r="H662" s="32"/>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row>
    <row r="663" spans="1:44" ht="15">
      <c r="A663" s="37"/>
      <c r="B663" s="15"/>
      <c r="C663" s="37"/>
      <c r="D663" s="37"/>
      <c r="E663" s="37"/>
      <c r="F663" s="37"/>
      <c r="G663" s="32"/>
      <c r="H663" s="32"/>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row>
    <row r="664" spans="1:44" ht="15">
      <c r="A664" s="37"/>
      <c r="B664" s="15"/>
      <c r="C664" s="37"/>
      <c r="D664" s="37"/>
      <c r="E664" s="37"/>
      <c r="F664" s="37"/>
      <c r="G664" s="32"/>
      <c r="H664" s="32"/>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row>
    <row r="665" spans="1:44" ht="15">
      <c r="A665" s="37"/>
      <c r="B665" s="15"/>
      <c r="C665" s="37"/>
      <c r="D665" s="37"/>
      <c r="E665" s="37"/>
      <c r="F665" s="37"/>
      <c r="G665" s="32"/>
      <c r="H665" s="32"/>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row>
    <row r="666" spans="1:44" ht="15">
      <c r="A666" s="37"/>
      <c r="B666" s="15"/>
      <c r="C666" s="37"/>
      <c r="D666" s="37"/>
      <c r="E666" s="37"/>
      <c r="F666" s="37"/>
      <c r="G666" s="32"/>
      <c r="H666" s="32"/>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row>
    <row r="667" spans="1:44" ht="15">
      <c r="A667" s="37"/>
      <c r="B667" s="15"/>
      <c r="C667" s="37"/>
      <c r="D667" s="37"/>
      <c r="E667" s="37"/>
      <c r="F667" s="37"/>
      <c r="G667" s="32"/>
      <c r="H667" s="32"/>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row>
    <row r="668" spans="1:44" ht="15">
      <c r="A668" s="37"/>
      <c r="B668" s="15"/>
      <c r="C668" s="37"/>
      <c r="D668" s="37"/>
      <c r="E668" s="37"/>
      <c r="F668" s="37"/>
      <c r="G668" s="32"/>
      <c r="H668" s="32"/>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row>
    <row r="669" spans="1:44" ht="15">
      <c r="A669" s="37"/>
      <c r="B669" s="15"/>
      <c r="C669" s="37"/>
      <c r="D669" s="37"/>
      <c r="E669" s="37"/>
      <c r="F669" s="37"/>
      <c r="G669" s="32"/>
      <c r="H669" s="32"/>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row>
    <row r="670" spans="1:44" ht="15">
      <c r="A670" s="37"/>
      <c r="B670" s="15"/>
      <c r="C670" s="37"/>
      <c r="D670" s="37"/>
      <c r="E670" s="37"/>
      <c r="F670" s="37"/>
      <c r="G670" s="32"/>
      <c r="H670" s="32"/>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row>
    <row r="671" spans="1:44" ht="15">
      <c r="A671" s="37"/>
      <c r="B671" s="15"/>
      <c r="C671" s="37"/>
      <c r="D671" s="37"/>
      <c r="E671" s="37"/>
      <c r="F671" s="37"/>
      <c r="G671" s="32"/>
      <c r="H671" s="32"/>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row>
    <row r="672" spans="1:44" ht="15">
      <c r="A672" s="37"/>
      <c r="B672" s="15"/>
      <c r="C672" s="37"/>
      <c r="D672" s="37"/>
      <c r="E672" s="37"/>
      <c r="F672" s="37"/>
      <c r="G672" s="32"/>
      <c r="H672" s="32"/>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row>
    <row r="673" spans="1:44" ht="15">
      <c r="A673" s="37"/>
      <c r="B673" s="15"/>
      <c r="C673" s="37"/>
      <c r="D673" s="37"/>
      <c r="E673" s="37"/>
      <c r="F673" s="37"/>
      <c r="G673" s="32"/>
      <c r="H673" s="32"/>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row>
    <row r="674" spans="1:44" ht="15">
      <c r="A674" s="37"/>
      <c r="B674" s="15"/>
      <c r="C674" s="37"/>
      <c r="D674" s="37"/>
      <c r="E674" s="37"/>
      <c r="F674" s="37"/>
      <c r="G674" s="32"/>
      <c r="H674" s="32"/>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row>
    <row r="675" spans="1:44" ht="15">
      <c r="A675" s="37"/>
      <c r="B675" s="15"/>
      <c r="C675" s="37"/>
      <c r="D675" s="37"/>
      <c r="E675" s="37"/>
      <c r="F675" s="37"/>
      <c r="G675" s="32"/>
      <c r="H675" s="32"/>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row>
    <row r="676" spans="1:44" ht="15">
      <c r="A676" s="37"/>
      <c r="B676" s="15"/>
      <c r="C676" s="37"/>
      <c r="D676" s="37"/>
      <c r="E676" s="37"/>
      <c r="F676" s="37"/>
      <c r="G676" s="32"/>
      <c r="H676" s="32"/>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row>
    <row r="677" spans="1:44" ht="15">
      <c r="A677" s="37"/>
      <c r="B677" s="15"/>
      <c r="C677" s="37"/>
      <c r="D677" s="37"/>
      <c r="E677" s="37"/>
      <c r="F677" s="37"/>
      <c r="G677" s="32"/>
      <c r="H677" s="32"/>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row>
    <row r="678" spans="1:44" ht="15">
      <c r="A678" s="37"/>
      <c r="B678" s="15"/>
      <c r="C678" s="37"/>
      <c r="D678" s="37"/>
      <c r="E678" s="37"/>
      <c r="F678" s="37"/>
      <c r="G678" s="32"/>
      <c r="H678" s="32"/>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row>
    <row r="679" spans="1:44" ht="15">
      <c r="A679" s="37"/>
      <c r="B679" s="15"/>
      <c r="C679" s="37"/>
      <c r="D679" s="37"/>
      <c r="E679" s="37"/>
      <c r="F679" s="37"/>
      <c r="G679" s="32"/>
      <c r="H679" s="32"/>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row>
    <row r="680" spans="1:44" ht="15">
      <c r="A680" s="37"/>
      <c r="B680" s="15"/>
      <c r="C680" s="37"/>
      <c r="D680" s="37"/>
      <c r="E680" s="37"/>
      <c r="F680" s="37"/>
      <c r="G680" s="32"/>
      <c r="H680" s="32"/>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row>
    <row r="681" spans="1:44" ht="15">
      <c r="A681" s="37"/>
      <c r="B681" s="15"/>
      <c r="C681" s="37"/>
      <c r="D681" s="37"/>
      <c r="E681" s="37"/>
      <c r="F681" s="37"/>
      <c r="G681" s="32"/>
      <c r="H681" s="32"/>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row>
    <row r="682" spans="1:44" ht="15">
      <c r="A682" s="37"/>
      <c r="B682" s="15"/>
      <c r="C682" s="37"/>
      <c r="D682" s="37"/>
      <c r="E682" s="37"/>
      <c r="F682" s="37"/>
      <c r="G682" s="32"/>
      <c r="H682" s="32"/>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row>
    <row r="683" spans="1:44" ht="15">
      <c r="A683" s="37"/>
      <c r="B683" s="15"/>
      <c r="C683" s="37"/>
      <c r="D683" s="37"/>
      <c r="E683" s="37"/>
      <c r="F683" s="37"/>
      <c r="G683" s="32"/>
      <c r="H683" s="32"/>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row>
    <row r="684" spans="1:44" ht="15">
      <c r="A684" s="37"/>
      <c r="B684" s="15"/>
      <c r="C684" s="37"/>
      <c r="D684" s="37"/>
      <c r="E684" s="37"/>
      <c r="F684" s="37"/>
      <c r="G684" s="32"/>
      <c r="H684" s="32"/>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row>
    <row r="685" spans="1:44" ht="15">
      <c r="A685" s="37"/>
      <c r="B685" s="15"/>
      <c r="C685" s="37"/>
      <c r="D685" s="37"/>
      <c r="E685" s="37"/>
      <c r="F685" s="37"/>
      <c r="G685" s="32"/>
      <c r="H685" s="32"/>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row>
    <row r="686" spans="1:44" ht="15">
      <c r="A686" s="37"/>
      <c r="B686" s="15"/>
      <c r="C686" s="37"/>
      <c r="D686" s="37"/>
      <c r="E686" s="37"/>
      <c r="F686" s="37"/>
      <c r="G686" s="32"/>
      <c r="H686" s="32"/>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row>
    <row r="687" spans="1:44" ht="15">
      <c r="A687" s="37"/>
      <c r="B687" s="15"/>
      <c r="C687" s="37"/>
      <c r="D687" s="37"/>
      <c r="E687" s="37"/>
      <c r="F687" s="37"/>
      <c r="G687" s="32"/>
      <c r="H687" s="32"/>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row>
    <row r="688" spans="1:44" ht="15">
      <c r="A688" s="37"/>
      <c r="B688" s="15"/>
      <c r="C688" s="37"/>
      <c r="D688" s="37"/>
      <c r="E688" s="37"/>
      <c r="F688" s="37"/>
      <c r="G688" s="32"/>
      <c r="H688" s="32"/>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row>
    <row r="689" spans="1:44" ht="15">
      <c r="A689" s="37"/>
      <c r="B689" s="15"/>
      <c r="C689" s="37"/>
      <c r="D689" s="37"/>
      <c r="E689" s="37"/>
      <c r="F689" s="37"/>
      <c r="G689" s="32"/>
      <c r="H689" s="32"/>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row>
    <row r="690" spans="1:44" ht="15">
      <c r="A690" s="37"/>
      <c r="B690" s="15"/>
      <c r="C690" s="37"/>
      <c r="D690" s="37"/>
      <c r="E690" s="37"/>
      <c r="F690" s="37"/>
      <c r="G690" s="32"/>
      <c r="H690" s="32"/>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row>
    <row r="691" spans="1:44" ht="15">
      <c r="A691" s="37"/>
      <c r="B691" s="15"/>
      <c r="C691" s="37"/>
      <c r="D691" s="37"/>
      <c r="E691" s="37"/>
      <c r="F691" s="37"/>
      <c r="G691" s="32"/>
      <c r="H691" s="32"/>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row>
    <row r="692" spans="1:44" ht="15">
      <c r="A692" s="37"/>
      <c r="B692" s="15"/>
      <c r="C692" s="37"/>
      <c r="D692" s="37"/>
      <c r="E692" s="37"/>
      <c r="F692" s="37"/>
      <c r="G692" s="32"/>
      <c r="H692" s="32"/>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row>
    <row r="693" spans="1:44" ht="15">
      <c r="A693" s="37"/>
      <c r="B693" s="15"/>
      <c r="C693" s="37"/>
      <c r="D693" s="37"/>
      <c r="E693" s="37"/>
      <c r="F693" s="37"/>
      <c r="G693" s="32"/>
      <c r="H693" s="32"/>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row>
    <row r="694" spans="1:44" ht="15">
      <c r="A694" s="37"/>
      <c r="B694" s="15"/>
      <c r="C694" s="37"/>
      <c r="D694" s="37"/>
      <c r="E694" s="37"/>
      <c r="F694" s="37"/>
      <c r="G694" s="32"/>
      <c r="H694" s="32"/>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row>
    <row r="695" spans="1:44" ht="15">
      <c r="A695" s="37"/>
      <c r="B695" s="15"/>
      <c r="C695" s="37"/>
      <c r="D695" s="37"/>
      <c r="E695" s="37"/>
      <c r="F695" s="37"/>
      <c r="G695" s="32"/>
      <c r="H695" s="32"/>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row>
    <row r="696" spans="1:44" ht="15">
      <c r="A696" s="37"/>
      <c r="B696" s="15"/>
      <c r="C696" s="37"/>
      <c r="D696" s="37"/>
      <c r="E696" s="37"/>
      <c r="F696" s="37"/>
      <c r="G696" s="32"/>
      <c r="H696" s="32"/>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row>
    <row r="697" spans="1:44" ht="15">
      <c r="A697" s="37"/>
      <c r="B697" s="15"/>
      <c r="C697" s="37"/>
      <c r="D697" s="37"/>
      <c r="E697" s="37"/>
      <c r="F697" s="37"/>
      <c r="G697" s="32"/>
      <c r="H697" s="32"/>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row>
    <row r="698" spans="1:44" ht="15">
      <c r="A698" s="37"/>
      <c r="B698" s="15"/>
      <c r="C698" s="37"/>
      <c r="D698" s="37"/>
      <c r="E698" s="37"/>
      <c r="F698" s="37"/>
      <c r="G698" s="32"/>
      <c r="H698" s="32"/>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row>
    <row r="699" spans="1:44" ht="15">
      <c r="A699" s="37"/>
      <c r="B699" s="15"/>
      <c r="C699" s="37"/>
      <c r="D699" s="37"/>
      <c r="E699" s="37"/>
      <c r="F699" s="37"/>
      <c r="G699" s="32"/>
      <c r="H699" s="32"/>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row>
    <row r="700" spans="1:44" ht="15">
      <c r="A700" s="37"/>
      <c r="B700" s="15"/>
      <c r="C700" s="37"/>
      <c r="D700" s="37"/>
      <c r="E700" s="37"/>
      <c r="F700" s="37"/>
      <c r="G700" s="32"/>
      <c r="H700" s="32"/>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row>
    <row r="701" spans="1:44" ht="15">
      <c r="A701" s="37"/>
      <c r="B701" s="15"/>
      <c r="C701" s="37"/>
      <c r="D701" s="37"/>
      <c r="E701" s="37"/>
      <c r="F701" s="37"/>
      <c r="G701" s="32"/>
      <c r="H701" s="32"/>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row>
    <row r="702" spans="1:44" ht="15">
      <c r="A702" s="37"/>
      <c r="B702" s="15"/>
      <c r="C702" s="37"/>
      <c r="D702" s="37"/>
      <c r="E702" s="37"/>
      <c r="F702" s="37"/>
      <c r="G702" s="32"/>
      <c r="H702" s="32"/>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row>
    <row r="703" spans="1:44" ht="15">
      <c r="A703" s="37"/>
      <c r="B703" s="15"/>
      <c r="C703" s="37"/>
      <c r="D703" s="37"/>
      <c r="E703" s="37"/>
      <c r="F703" s="37"/>
      <c r="G703" s="32"/>
      <c r="H703" s="32"/>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row>
    <row r="704" spans="1:44" ht="15">
      <c r="A704" s="37"/>
      <c r="B704" s="15"/>
      <c r="C704" s="37"/>
      <c r="D704" s="37"/>
      <c r="E704" s="37"/>
      <c r="F704" s="37"/>
      <c r="G704" s="32"/>
      <c r="H704" s="32"/>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row>
    <row r="705" spans="1:44" ht="15">
      <c r="A705" s="37"/>
      <c r="B705" s="15"/>
      <c r="C705" s="37"/>
      <c r="D705" s="37"/>
      <c r="E705" s="37"/>
      <c r="F705" s="37"/>
      <c r="G705" s="32"/>
      <c r="H705" s="32"/>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row>
    <row r="706" spans="1:44" ht="15">
      <c r="A706" s="37"/>
      <c r="B706" s="15"/>
      <c r="C706" s="37"/>
      <c r="D706" s="37"/>
      <c r="E706" s="37"/>
      <c r="F706" s="37"/>
      <c r="G706" s="32"/>
      <c r="H706" s="32"/>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row>
    <row r="707" spans="1:44" ht="15">
      <c r="A707" s="37"/>
      <c r="B707" s="15"/>
      <c r="C707" s="37"/>
      <c r="D707" s="37"/>
      <c r="E707" s="37"/>
      <c r="F707" s="37"/>
      <c r="G707" s="32"/>
      <c r="H707" s="32"/>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row>
    <row r="708" spans="1:44" ht="15">
      <c r="A708" s="37"/>
      <c r="B708" s="15"/>
      <c r="C708" s="37"/>
      <c r="D708" s="37"/>
      <c r="E708" s="37"/>
      <c r="F708" s="37"/>
      <c r="G708" s="32"/>
      <c r="H708" s="32"/>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row>
    <row r="709" spans="1:44" ht="15">
      <c r="A709" s="37"/>
      <c r="B709" s="15"/>
      <c r="C709" s="37"/>
      <c r="D709" s="37"/>
      <c r="E709" s="37"/>
      <c r="F709" s="37"/>
      <c r="G709" s="32"/>
      <c r="H709" s="32"/>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row>
    <row r="710" spans="1:44" ht="15">
      <c r="A710" s="37"/>
      <c r="B710" s="15"/>
      <c r="C710" s="37"/>
      <c r="D710" s="37"/>
      <c r="E710" s="37"/>
      <c r="F710" s="37"/>
      <c r="G710" s="32"/>
      <c r="H710" s="32"/>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row>
    <row r="711" spans="1:44" ht="15">
      <c r="A711" s="37"/>
      <c r="B711" s="15"/>
      <c r="C711" s="37"/>
      <c r="D711" s="37"/>
      <c r="E711" s="37"/>
      <c r="F711" s="37"/>
      <c r="G711" s="32"/>
      <c r="H711" s="32"/>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row>
    <row r="712" spans="1:44" ht="15">
      <c r="A712" s="37"/>
      <c r="B712" s="15"/>
      <c r="C712" s="37"/>
      <c r="D712" s="37"/>
      <c r="E712" s="37"/>
      <c r="F712" s="37"/>
      <c r="G712" s="32"/>
      <c r="H712" s="32"/>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row>
    <row r="713" spans="1:44" ht="15">
      <c r="A713" s="37"/>
      <c r="B713" s="15"/>
      <c r="C713" s="37"/>
      <c r="D713" s="37"/>
      <c r="E713" s="37"/>
      <c r="F713" s="37"/>
      <c r="G713" s="32"/>
      <c r="H713" s="32"/>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row>
    <row r="714" spans="1:44" ht="15">
      <c r="A714" s="37"/>
      <c r="B714" s="15"/>
      <c r="C714" s="37"/>
      <c r="D714" s="37"/>
      <c r="E714" s="37"/>
      <c r="F714" s="37"/>
      <c r="G714" s="32"/>
      <c r="H714" s="32"/>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row>
    <row r="715" spans="1:44" ht="15">
      <c r="A715" s="37"/>
      <c r="B715" s="15"/>
      <c r="C715" s="37"/>
      <c r="D715" s="37"/>
      <c r="E715" s="37"/>
      <c r="F715" s="37"/>
      <c r="G715" s="32"/>
      <c r="H715" s="32"/>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row>
    <row r="716" spans="1:44" ht="15">
      <c r="A716" s="37"/>
      <c r="B716" s="15"/>
      <c r="C716" s="37"/>
      <c r="D716" s="37"/>
      <c r="E716" s="37"/>
      <c r="F716" s="37"/>
      <c r="G716" s="32"/>
      <c r="H716" s="32"/>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row>
    <row r="717" spans="1:44" ht="15">
      <c r="A717" s="37"/>
      <c r="B717" s="15"/>
      <c r="C717" s="37"/>
      <c r="D717" s="37"/>
      <c r="E717" s="37"/>
      <c r="F717" s="37"/>
      <c r="G717" s="32"/>
      <c r="H717" s="32"/>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row>
    <row r="718" spans="1:44" ht="15">
      <c r="A718" s="37"/>
      <c r="B718" s="15"/>
      <c r="C718" s="37"/>
      <c r="D718" s="37"/>
      <c r="E718" s="37"/>
      <c r="F718" s="37"/>
      <c r="G718" s="32"/>
      <c r="H718" s="32"/>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row>
    <row r="719" spans="1:44" ht="15">
      <c r="A719" s="37"/>
      <c r="B719" s="15"/>
      <c r="C719" s="37"/>
      <c r="D719" s="37"/>
      <c r="E719" s="37"/>
      <c r="F719" s="37"/>
      <c r="G719" s="32"/>
      <c r="H719" s="32"/>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row>
    <row r="720" spans="1:44" ht="15">
      <c r="A720" s="37"/>
      <c r="B720" s="15"/>
      <c r="C720" s="37"/>
      <c r="D720" s="37"/>
      <c r="E720" s="37"/>
      <c r="F720" s="37"/>
      <c r="G720" s="32"/>
      <c r="H720" s="32"/>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row>
    <row r="721" spans="1:44" ht="15">
      <c r="A721" s="37"/>
      <c r="B721" s="15"/>
      <c r="C721" s="37"/>
      <c r="D721" s="37"/>
      <c r="E721" s="37"/>
      <c r="F721" s="37"/>
      <c r="G721" s="32"/>
      <c r="H721" s="32"/>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row>
    <row r="722" spans="1:44" ht="15">
      <c r="A722" s="37"/>
      <c r="B722" s="15"/>
      <c r="C722" s="37"/>
      <c r="D722" s="37"/>
      <c r="E722" s="37"/>
      <c r="F722" s="37"/>
      <c r="G722" s="32"/>
      <c r="H722" s="32"/>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row>
    <row r="723" spans="1:44" ht="15">
      <c r="A723" s="37"/>
      <c r="B723" s="15"/>
      <c r="C723" s="37"/>
      <c r="D723" s="37"/>
      <c r="E723" s="37"/>
      <c r="F723" s="37"/>
      <c r="G723" s="32"/>
      <c r="H723" s="32"/>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row>
    <row r="724" spans="1:44" ht="15">
      <c r="A724" s="37"/>
      <c r="B724" s="15"/>
      <c r="C724" s="37"/>
      <c r="D724" s="37"/>
      <c r="E724" s="37"/>
      <c r="F724" s="37"/>
      <c r="G724" s="32"/>
      <c r="H724" s="32"/>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row>
    <row r="725" spans="1:44" ht="15">
      <c r="A725" s="37"/>
      <c r="B725" s="15"/>
      <c r="C725" s="37"/>
      <c r="D725" s="37"/>
      <c r="E725" s="37"/>
      <c r="F725" s="37"/>
      <c r="G725" s="32"/>
      <c r="H725" s="32"/>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row>
    <row r="726" spans="1:44" ht="15">
      <c r="A726" s="37"/>
      <c r="B726" s="15"/>
      <c r="C726" s="37"/>
      <c r="D726" s="37"/>
      <c r="E726" s="37"/>
      <c r="F726" s="37"/>
      <c r="G726" s="32"/>
      <c r="H726" s="32"/>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row>
    <row r="727" spans="1:44" ht="15">
      <c r="A727" s="37"/>
      <c r="B727" s="15"/>
      <c r="C727" s="37"/>
      <c r="D727" s="37"/>
      <c r="E727" s="37"/>
      <c r="F727" s="37"/>
      <c r="G727" s="32"/>
      <c r="H727" s="32"/>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row>
    <row r="728" spans="1:44" ht="15">
      <c r="A728" s="37"/>
      <c r="B728" s="15"/>
      <c r="C728" s="37"/>
      <c r="D728" s="37"/>
      <c r="E728" s="37"/>
      <c r="F728" s="37"/>
      <c r="G728" s="32"/>
      <c r="H728" s="32"/>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row>
    <row r="729" spans="1:44" ht="15">
      <c r="A729" s="37"/>
      <c r="B729" s="15"/>
      <c r="C729" s="37"/>
      <c r="D729" s="37"/>
      <c r="E729" s="37"/>
      <c r="F729" s="37"/>
      <c r="G729" s="32"/>
      <c r="H729" s="32"/>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row>
    <row r="730" spans="1:44" ht="15">
      <c r="A730" s="37"/>
      <c r="B730" s="15"/>
      <c r="C730" s="37"/>
      <c r="D730" s="37"/>
      <c r="E730" s="37"/>
      <c r="F730" s="37"/>
      <c r="G730" s="32"/>
      <c r="H730" s="32"/>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row>
    <row r="731" spans="1:44" ht="15">
      <c r="A731" s="37"/>
      <c r="B731" s="15"/>
      <c r="C731" s="37"/>
      <c r="D731" s="37"/>
      <c r="E731" s="37"/>
      <c r="F731" s="37"/>
      <c r="G731" s="32"/>
      <c r="H731" s="32"/>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row>
    <row r="732" spans="1:44" ht="15">
      <c r="A732" s="37"/>
      <c r="B732" s="15"/>
      <c r="C732" s="37"/>
      <c r="D732" s="37"/>
      <c r="E732" s="37"/>
      <c r="F732" s="37"/>
      <c r="G732" s="32"/>
      <c r="H732" s="32"/>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row>
    <row r="733" spans="1:44" ht="15">
      <c r="A733" s="37"/>
      <c r="B733" s="15"/>
      <c r="C733" s="37"/>
      <c r="D733" s="37"/>
      <c r="E733" s="37"/>
      <c r="F733" s="37"/>
      <c r="G733" s="32"/>
      <c r="H733" s="32"/>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row>
    <row r="734" spans="1:44" ht="15">
      <c r="A734" s="37"/>
      <c r="B734" s="15"/>
      <c r="C734" s="37"/>
      <c r="D734" s="37"/>
      <c r="E734" s="37"/>
      <c r="F734" s="37"/>
      <c r="G734" s="32"/>
      <c r="H734" s="32"/>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row>
    <row r="735" spans="1:44" ht="15">
      <c r="A735" s="37"/>
      <c r="B735" s="15"/>
      <c r="C735" s="37"/>
      <c r="D735" s="37"/>
      <c r="E735" s="37"/>
      <c r="F735" s="37"/>
      <c r="G735" s="32"/>
      <c r="H735" s="32"/>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row>
    <row r="736" spans="1:44" ht="15">
      <c r="A736" s="37"/>
      <c r="B736" s="15"/>
      <c r="C736" s="37"/>
      <c r="D736" s="37"/>
      <c r="E736" s="37"/>
      <c r="F736" s="37"/>
      <c r="G736" s="32"/>
      <c r="H736" s="32"/>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row>
    <row r="737" spans="1:44" ht="15">
      <c r="A737" s="37"/>
      <c r="B737" s="15"/>
      <c r="C737" s="37"/>
      <c r="D737" s="37"/>
      <c r="E737" s="37"/>
      <c r="F737" s="37"/>
      <c r="G737" s="32"/>
      <c r="H737" s="32"/>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row>
    <row r="738" spans="1:44" ht="15">
      <c r="A738" s="37"/>
      <c r="B738" s="15"/>
      <c r="C738" s="37"/>
      <c r="D738" s="37"/>
      <c r="E738" s="37"/>
      <c r="F738" s="37"/>
      <c r="G738" s="32"/>
      <c r="H738" s="32"/>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row>
    <row r="739" spans="1:44" ht="15">
      <c r="A739" s="37"/>
      <c r="B739" s="15"/>
      <c r="C739" s="37"/>
      <c r="D739" s="37"/>
      <c r="E739" s="37"/>
      <c r="F739" s="37"/>
      <c r="G739" s="32"/>
      <c r="H739" s="32"/>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row>
    <row r="740" spans="1:44" ht="15">
      <c r="A740" s="37"/>
      <c r="B740" s="15"/>
      <c r="C740" s="37"/>
      <c r="D740" s="37"/>
      <c r="E740" s="37"/>
      <c r="F740" s="37"/>
      <c r="G740" s="32"/>
      <c r="H740" s="32"/>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row>
    <row r="741" spans="1:44" ht="15">
      <c r="A741" s="37"/>
      <c r="B741" s="15"/>
      <c r="C741" s="37"/>
      <c r="D741" s="37"/>
      <c r="E741" s="37"/>
      <c r="F741" s="37"/>
      <c r="G741" s="32"/>
      <c r="H741" s="32"/>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row>
    <row r="742" spans="1:44" ht="15">
      <c r="A742" s="37"/>
      <c r="B742" s="15"/>
      <c r="C742" s="37"/>
      <c r="D742" s="37"/>
      <c r="E742" s="37"/>
      <c r="F742" s="37"/>
      <c r="G742" s="32"/>
      <c r="H742" s="32"/>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row>
    <row r="743" spans="1:44" ht="15">
      <c r="A743" s="37"/>
      <c r="B743" s="15"/>
      <c r="C743" s="37"/>
      <c r="D743" s="37"/>
      <c r="E743" s="37"/>
      <c r="F743" s="37"/>
      <c r="G743" s="32"/>
      <c r="H743" s="32"/>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row>
    <row r="744" spans="1:44" ht="15">
      <c r="A744" s="37"/>
      <c r="B744" s="15"/>
      <c r="C744" s="37"/>
      <c r="D744" s="37"/>
      <c r="E744" s="37"/>
      <c r="F744" s="37"/>
      <c r="G744" s="32"/>
      <c r="H744" s="32"/>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row>
    <row r="745" spans="1:44" ht="15">
      <c r="A745" s="37"/>
      <c r="B745" s="15"/>
      <c r="C745" s="37"/>
      <c r="D745" s="37"/>
      <c r="E745" s="37"/>
      <c r="F745" s="37"/>
      <c r="G745" s="32"/>
      <c r="H745" s="32"/>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row>
    <row r="746" spans="1:44" ht="15">
      <c r="A746" s="37"/>
      <c r="B746" s="15"/>
      <c r="C746" s="37"/>
      <c r="D746" s="37"/>
      <c r="E746" s="37"/>
      <c r="F746" s="37"/>
      <c r="G746" s="32"/>
      <c r="H746" s="32"/>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row>
    <row r="747" spans="1:44" ht="15">
      <c r="A747" s="37"/>
      <c r="B747" s="15"/>
      <c r="C747" s="37"/>
      <c r="D747" s="37"/>
      <c r="E747" s="37"/>
      <c r="F747" s="37"/>
      <c r="G747" s="32"/>
      <c r="H747" s="32"/>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row>
    <row r="748" spans="1:44" ht="15">
      <c r="A748" s="37"/>
      <c r="B748" s="15"/>
      <c r="C748" s="37"/>
      <c r="D748" s="37"/>
      <c r="E748" s="37"/>
      <c r="F748" s="37"/>
      <c r="G748" s="32"/>
      <c r="H748" s="32"/>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row>
    <row r="749" spans="1:44" ht="15">
      <c r="A749" s="37"/>
      <c r="B749" s="15"/>
      <c r="C749" s="37"/>
      <c r="D749" s="37"/>
      <c r="E749" s="37"/>
      <c r="F749" s="37"/>
      <c r="G749" s="32"/>
      <c r="H749" s="32"/>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row>
    <row r="750" spans="1:44" ht="15">
      <c r="A750" s="37"/>
      <c r="B750" s="15"/>
      <c r="C750" s="37"/>
      <c r="D750" s="37"/>
      <c r="E750" s="37"/>
      <c r="F750" s="37"/>
      <c r="G750" s="32"/>
      <c r="H750" s="32"/>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row>
    <row r="751" spans="1:44" ht="15">
      <c r="A751" s="37"/>
      <c r="B751" s="15"/>
      <c r="C751" s="37"/>
      <c r="D751" s="37"/>
      <c r="E751" s="37"/>
      <c r="F751" s="37"/>
      <c r="G751" s="32"/>
      <c r="H751" s="32"/>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row>
    <row r="752" spans="1:44" ht="15">
      <c r="A752" s="37"/>
      <c r="B752" s="15"/>
      <c r="C752" s="37"/>
      <c r="D752" s="37"/>
      <c r="E752" s="37"/>
      <c r="F752" s="37"/>
      <c r="G752" s="32"/>
      <c r="H752" s="32"/>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row>
    <row r="753" spans="1:44" ht="15">
      <c r="A753" s="37"/>
      <c r="B753" s="15"/>
      <c r="C753" s="37"/>
      <c r="D753" s="37"/>
      <c r="E753" s="37"/>
      <c r="F753" s="37"/>
      <c r="G753" s="32"/>
      <c r="H753" s="32"/>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row>
    <row r="754" spans="1:44" ht="15">
      <c r="A754" s="37"/>
      <c r="B754" s="15"/>
      <c r="C754" s="37"/>
      <c r="D754" s="37"/>
      <c r="E754" s="37"/>
      <c r="F754" s="37"/>
      <c r="G754" s="32"/>
      <c r="H754" s="32"/>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row>
    <row r="755" spans="1:44" ht="15">
      <c r="A755" s="37"/>
      <c r="B755" s="15"/>
      <c r="C755" s="37"/>
      <c r="D755" s="37"/>
      <c r="E755" s="37"/>
      <c r="F755" s="37"/>
      <c r="G755" s="32"/>
      <c r="H755" s="32"/>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row>
    <row r="756" spans="1:44" ht="15">
      <c r="A756" s="37"/>
      <c r="B756" s="15"/>
      <c r="C756" s="37"/>
      <c r="D756" s="37"/>
      <c r="E756" s="37"/>
      <c r="F756" s="37"/>
      <c r="G756" s="32"/>
      <c r="H756" s="32"/>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row>
    <row r="757" spans="1:44" ht="15">
      <c r="A757" s="37"/>
      <c r="B757" s="15"/>
      <c r="C757" s="37"/>
      <c r="D757" s="37"/>
      <c r="E757" s="37"/>
      <c r="F757" s="37"/>
      <c r="G757" s="32"/>
      <c r="H757" s="32"/>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row>
    <row r="758" spans="1:44" ht="15">
      <c r="A758" s="37"/>
      <c r="B758" s="15"/>
      <c r="C758" s="37"/>
      <c r="D758" s="37"/>
      <c r="E758" s="37"/>
      <c r="F758" s="37"/>
      <c r="G758" s="32"/>
      <c r="H758" s="32"/>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row>
    <row r="759" spans="1:44" ht="15">
      <c r="A759" s="37"/>
      <c r="B759" s="15"/>
      <c r="C759" s="37"/>
      <c r="D759" s="37"/>
      <c r="E759" s="37"/>
      <c r="F759" s="37"/>
      <c r="G759" s="32"/>
      <c r="H759" s="32"/>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row>
    <row r="760" spans="1:44" ht="15">
      <c r="A760" s="37"/>
      <c r="B760" s="15"/>
      <c r="C760" s="37"/>
      <c r="D760" s="37"/>
      <c r="E760" s="37"/>
      <c r="F760" s="37"/>
      <c r="G760" s="32"/>
      <c r="H760" s="32"/>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row>
    <row r="761" spans="1:44" ht="15">
      <c r="A761" s="37"/>
      <c r="B761" s="15"/>
      <c r="C761" s="37"/>
      <c r="D761" s="37"/>
      <c r="E761" s="37"/>
      <c r="F761" s="37"/>
      <c r="G761" s="32"/>
      <c r="H761" s="32"/>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row>
    <row r="762" spans="1:44" ht="15">
      <c r="A762" s="37"/>
      <c r="B762" s="15"/>
      <c r="C762" s="37"/>
      <c r="D762" s="37"/>
      <c r="E762" s="37"/>
      <c r="F762" s="37"/>
      <c r="G762" s="32"/>
      <c r="H762" s="32"/>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row>
    <row r="763" spans="1:44" ht="15">
      <c r="A763" s="37"/>
      <c r="B763" s="15"/>
      <c r="C763" s="37"/>
      <c r="D763" s="37"/>
      <c r="E763" s="37"/>
      <c r="F763" s="37"/>
      <c r="G763" s="32"/>
      <c r="H763" s="32"/>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row>
    <row r="764" spans="1:44" ht="15">
      <c r="A764" s="37"/>
      <c r="B764" s="15"/>
      <c r="C764" s="37"/>
      <c r="D764" s="37"/>
      <c r="E764" s="37"/>
      <c r="F764" s="37"/>
      <c r="G764" s="32"/>
      <c r="H764" s="32"/>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row>
    <row r="765" spans="1:44" ht="15">
      <c r="A765" s="37"/>
      <c r="B765" s="15"/>
      <c r="C765" s="37"/>
      <c r="D765" s="37"/>
      <c r="E765" s="37"/>
      <c r="F765" s="37"/>
      <c r="G765" s="32"/>
      <c r="H765" s="32"/>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row>
    <row r="766" spans="1:44" ht="15">
      <c r="A766" s="37"/>
      <c r="B766" s="15"/>
      <c r="C766" s="37"/>
      <c r="D766" s="37"/>
      <c r="E766" s="37"/>
      <c r="F766" s="37"/>
      <c r="G766" s="32"/>
      <c r="H766" s="32"/>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row>
    <row r="767" spans="1:44" ht="15">
      <c r="A767" s="37"/>
      <c r="B767" s="15"/>
      <c r="C767" s="37"/>
      <c r="D767" s="37"/>
      <c r="E767" s="37"/>
      <c r="F767" s="37"/>
      <c r="G767" s="32"/>
      <c r="H767" s="32"/>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row>
    <row r="768" spans="1:44" ht="15">
      <c r="A768" s="37"/>
      <c r="B768" s="15"/>
      <c r="C768" s="37"/>
      <c r="D768" s="37"/>
      <c r="E768" s="37"/>
      <c r="F768" s="37"/>
      <c r="G768" s="32"/>
      <c r="H768" s="32"/>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row>
    <row r="769" spans="1:44" ht="15">
      <c r="A769" s="37"/>
      <c r="B769" s="15"/>
      <c r="C769" s="37"/>
      <c r="D769" s="37"/>
      <c r="E769" s="37"/>
      <c r="F769" s="37"/>
      <c r="G769" s="32"/>
      <c r="H769" s="32"/>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row>
    <row r="770" spans="1:44" ht="15">
      <c r="A770" s="37"/>
      <c r="B770" s="15"/>
      <c r="C770" s="37"/>
      <c r="D770" s="37"/>
      <c r="E770" s="37"/>
      <c r="F770" s="37"/>
      <c r="G770" s="32"/>
      <c r="H770" s="32"/>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row>
    <row r="771" spans="1:44" ht="15">
      <c r="A771" s="37"/>
      <c r="B771" s="15"/>
      <c r="C771" s="37"/>
      <c r="D771" s="37"/>
      <c r="E771" s="37"/>
      <c r="F771" s="37"/>
      <c r="G771" s="32"/>
      <c r="H771" s="32"/>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row>
    <row r="772" spans="1:44" ht="15">
      <c r="A772" s="37"/>
      <c r="B772" s="15"/>
      <c r="C772" s="37"/>
      <c r="D772" s="37"/>
      <c r="E772" s="37"/>
      <c r="F772" s="37"/>
      <c r="G772" s="32"/>
      <c r="H772" s="32"/>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row>
    <row r="773" spans="1:44" ht="15">
      <c r="A773" s="37"/>
      <c r="B773" s="15"/>
      <c r="C773" s="37"/>
      <c r="D773" s="37"/>
      <c r="E773" s="37"/>
      <c r="F773" s="37"/>
      <c r="G773" s="32"/>
      <c r="H773" s="32"/>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row>
    <row r="774" spans="1:44" ht="15">
      <c r="A774" s="37"/>
      <c r="B774" s="15"/>
      <c r="C774" s="37"/>
      <c r="D774" s="37"/>
      <c r="E774" s="37"/>
      <c r="F774" s="37"/>
      <c r="G774" s="32"/>
      <c r="H774" s="32"/>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row>
    <row r="775" spans="1:44" ht="15">
      <c r="A775" s="37"/>
      <c r="B775" s="15"/>
      <c r="C775" s="37"/>
      <c r="D775" s="37"/>
      <c r="E775" s="37"/>
      <c r="F775" s="37"/>
      <c r="G775" s="32"/>
      <c r="H775" s="32"/>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row>
    <row r="776" spans="1:44" ht="15">
      <c r="A776" s="37"/>
      <c r="B776" s="15"/>
      <c r="C776" s="37"/>
      <c r="D776" s="37"/>
      <c r="E776" s="37"/>
      <c r="F776" s="37"/>
      <c r="G776" s="32"/>
      <c r="H776" s="32"/>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row>
    <row r="777" spans="1:44" ht="15">
      <c r="A777" s="37"/>
      <c r="B777" s="15"/>
      <c r="C777" s="37"/>
      <c r="D777" s="37"/>
      <c r="E777" s="37"/>
      <c r="F777" s="37"/>
      <c r="G777" s="32"/>
      <c r="H777" s="32"/>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row>
    <row r="778" spans="1:44" ht="15">
      <c r="A778" s="37"/>
      <c r="B778" s="15"/>
      <c r="C778" s="37"/>
      <c r="D778" s="37"/>
      <c r="E778" s="37"/>
      <c r="F778" s="37"/>
      <c r="G778" s="32"/>
      <c r="H778" s="32"/>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row>
    <row r="779" spans="1:44" ht="15">
      <c r="A779" s="37"/>
      <c r="B779" s="15"/>
      <c r="C779" s="37"/>
      <c r="D779" s="37"/>
      <c r="E779" s="37"/>
      <c r="F779" s="37"/>
      <c r="G779" s="32"/>
      <c r="H779" s="32"/>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row>
    <row r="780" spans="1:44" ht="15">
      <c r="A780" s="37"/>
      <c r="B780" s="15"/>
      <c r="C780" s="37"/>
      <c r="D780" s="37"/>
      <c r="E780" s="37"/>
      <c r="F780" s="37"/>
      <c r="G780" s="32"/>
      <c r="H780" s="32"/>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row>
    <row r="781" spans="1:44" ht="15">
      <c r="A781" s="37"/>
      <c r="B781" s="15"/>
      <c r="C781" s="37"/>
      <c r="D781" s="37"/>
      <c r="E781" s="37"/>
      <c r="F781" s="37"/>
      <c r="G781" s="32"/>
      <c r="H781" s="32"/>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row>
    <row r="782" spans="1:44" ht="15">
      <c r="A782" s="37"/>
      <c r="B782" s="15"/>
      <c r="C782" s="37"/>
      <c r="D782" s="37"/>
      <c r="E782" s="37"/>
      <c r="F782" s="37"/>
      <c r="G782" s="32"/>
      <c r="H782" s="32"/>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row>
    <row r="783" spans="1:44" ht="15">
      <c r="A783" s="37"/>
      <c r="B783" s="15"/>
      <c r="C783" s="37"/>
      <c r="D783" s="37"/>
      <c r="E783" s="37"/>
      <c r="F783" s="37"/>
      <c r="G783" s="32"/>
      <c r="H783" s="32"/>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row>
    <row r="784" spans="1:44" ht="15">
      <c r="A784" s="37"/>
      <c r="B784" s="15"/>
      <c r="C784" s="37"/>
      <c r="D784" s="37"/>
      <c r="E784" s="37"/>
      <c r="F784" s="37"/>
      <c r="G784" s="32"/>
      <c r="H784" s="32"/>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row>
    <row r="785" spans="1:44" ht="15">
      <c r="A785" s="37"/>
      <c r="B785" s="15"/>
      <c r="C785" s="37"/>
      <c r="D785" s="37"/>
      <c r="E785" s="37"/>
      <c r="F785" s="37"/>
      <c r="G785" s="32"/>
      <c r="H785" s="32"/>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row>
    <row r="786" spans="1:44" ht="15">
      <c r="A786" s="37"/>
      <c r="B786" s="15"/>
      <c r="C786" s="37"/>
      <c r="D786" s="37"/>
      <c r="E786" s="37"/>
      <c r="F786" s="37"/>
      <c r="G786" s="32"/>
      <c r="H786" s="32"/>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row>
    <row r="787" spans="1:44" ht="15">
      <c r="A787" s="37"/>
      <c r="B787" s="15"/>
      <c r="C787" s="37"/>
      <c r="D787" s="37"/>
      <c r="E787" s="37"/>
      <c r="F787" s="37"/>
      <c r="G787" s="32"/>
      <c r="H787" s="32"/>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row>
    <row r="788" spans="1:44" ht="15">
      <c r="A788" s="37"/>
      <c r="B788" s="15"/>
      <c r="C788" s="37"/>
      <c r="D788" s="37"/>
      <c r="E788" s="37"/>
      <c r="F788" s="37"/>
      <c r="G788" s="32"/>
      <c r="H788" s="32"/>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row>
    <row r="789" spans="1:44" ht="15">
      <c r="A789" s="37"/>
      <c r="B789" s="15"/>
      <c r="C789" s="37"/>
      <c r="D789" s="37"/>
      <c r="E789" s="37"/>
      <c r="F789" s="37"/>
      <c r="G789" s="32"/>
      <c r="H789" s="32"/>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row>
    <row r="790" spans="1:44" ht="15">
      <c r="A790" s="37"/>
      <c r="B790" s="15"/>
      <c r="C790" s="37"/>
      <c r="D790" s="37"/>
      <c r="E790" s="37"/>
      <c r="F790" s="37"/>
      <c r="G790" s="32"/>
      <c r="H790" s="32"/>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row>
    <row r="791" spans="1:44" ht="15">
      <c r="A791" s="37"/>
      <c r="B791" s="15"/>
      <c r="C791" s="37"/>
      <c r="D791" s="37"/>
      <c r="E791" s="37"/>
      <c r="F791" s="37"/>
      <c r="G791" s="32"/>
      <c r="H791" s="32"/>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row>
    <row r="792" spans="1:44" ht="15">
      <c r="A792" s="37"/>
      <c r="B792" s="15"/>
      <c r="C792" s="37"/>
      <c r="D792" s="37"/>
      <c r="E792" s="37"/>
      <c r="F792" s="37"/>
      <c r="G792" s="32"/>
      <c r="H792" s="32"/>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row>
    <row r="793" spans="1:44" ht="15">
      <c r="A793" s="37"/>
      <c r="B793" s="15"/>
      <c r="C793" s="37"/>
      <c r="D793" s="37"/>
      <c r="E793" s="37"/>
      <c r="F793" s="37"/>
      <c r="G793" s="32"/>
      <c r="H793" s="32"/>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row>
    <row r="794" spans="1:44" ht="15">
      <c r="A794" s="37"/>
      <c r="B794" s="15"/>
      <c r="C794" s="37"/>
      <c r="D794" s="37"/>
      <c r="E794" s="37"/>
      <c r="F794" s="37"/>
      <c r="G794" s="32"/>
      <c r="H794" s="32"/>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row>
    <row r="795" spans="1:44" ht="15">
      <c r="A795" s="37"/>
      <c r="B795" s="15"/>
      <c r="C795" s="37"/>
      <c r="D795" s="37"/>
      <c r="E795" s="37"/>
      <c r="F795" s="37"/>
      <c r="G795" s="32"/>
      <c r="H795" s="32"/>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row>
    <row r="796" spans="1:44" ht="15">
      <c r="A796" s="37"/>
      <c r="B796" s="15"/>
      <c r="C796" s="37"/>
      <c r="D796" s="37"/>
      <c r="E796" s="37"/>
      <c r="F796" s="37"/>
      <c r="G796" s="32"/>
      <c r="H796" s="32"/>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row>
    <row r="797" spans="1:44" ht="15">
      <c r="A797" s="37"/>
      <c r="B797" s="15"/>
      <c r="C797" s="37"/>
      <c r="D797" s="37"/>
      <c r="E797" s="37"/>
      <c r="F797" s="37"/>
      <c r="G797" s="32"/>
      <c r="H797" s="32"/>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row>
    <row r="798" spans="1:44" ht="15">
      <c r="A798" s="37"/>
      <c r="B798" s="15"/>
      <c r="C798" s="37"/>
      <c r="D798" s="37"/>
      <c r="E798" s="37"/>
      <c r="F798" s="37"/>
      <c r="G798" s="32"/>
      <c r="H798" s="32"/>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row>
    <row r="799" spans="1:44" ht="15">
      <c r="A799" s="37"/>
      <c r="B799" s="15"/>
      <c r="C799" s="37"/>
      <c r="D799" s="37"/>
      <c r="E799" s="37"/>
      <c r="F799" s="37"/>
      <c r="G799" s="32"/>
      <c r="H799" s="32"/>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row>
    <row r="800" spans="1:44" ht="15">
      <c r="A800" s="37"/>
      <c r="B800" s="15"/>
      <c r="C800" s="37"/>
      <c r="D800" s="37"/>
      <c r="E800" s="37"/>
      <c r="F800" s="37"/>
      <c r="G800" s="32"/>
      <c r="H800" s="32"/>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row>
    <row r="801" spans="1:44" ht="15">
      <c r="A801" s="37"/>
      <c r="B801" s="15"/>
      <c r="C801" s="37"/>
      <c r="D801" s="37"/>
      <c r="E801" s="37"/>
      <c r="F801" s="37"/>
      <c r="G801" s="32"/>
      <c r="H801" s="32"/>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row>
    <row r="802" spans="1:44" ht="15">
      <c r="A802" s="37"/>
      <c r="B802" s="15"/>
      <c r="C802" s="37"/>
      <c r="D802" s="37"/>
      <c r="E802" s="37"/>
      <c r="F802" s="37"/>
      <c r="G802" s="32"/>
      <c r="H802" s="32"/>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row>
    <row r="803" spans="1:44" ht="15">
      <c r="A803" s="37"/>
      <c r="B803" s="15"/>
      <c r="C803" s="37"/>
      <c r="D803" s="37"/>
      <c r="E803" s="37"/>
      <c r="F803" s="37"/>
      <c r="G803" s="32"/>
      <c r="H803" s="32"/>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row>
    <row r="804" spans="1:44" ht="15">
      <c r="A804" s="37"/>
      <c r="B804" s="15"/>
      <c r="C804" s="37"/>
      <c r="D804" s="37"/>
      <c r="E804" s="37"/>
      <c r="F804" s="37"/>
      <c r="G804" s="32"/>
      <c r="H804" s="32"/>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row>
    <row r="805" spans="1:44" ht="15">
      <c r="A805" s="37"/>
      <c r="B805" s="15"/>
      <c r="C805" s="37"/>
      <c r="D805" s="37"/>
      <c r="E805" s="37"/>
      <c r="F805" s="37"/>
      <c r="G805" s="32"/>
      <c r="H805" s="32"/>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row>
    <row r="806" spans="1:44" ht="15">
      <c r="A806" s="37"/>
      <c r="B806" s="15"/>
      <c r="C806" s="37"/>
      <c r="D806" s="37"/>
      <c r="E806" s="37"/>
      <c r="F806" s="37"/>
      <c r="G806" s="32"/>
      <c r="H806" s="32"/>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row>
    <row r="807" spans="1:44" ht="15">
      <c r="A807" s="37"/>
      <c r="B807" s="15"/>
      <c r="C807" s="37"/>
      <c r="D807" s="37"/>
      <c r="E807" s="37"/>
      <c r="F807" s="37"/>
      <c r="G807" s="32"/>
      <c r="H807" s="32"/>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row>
    <row r="808" spans="1:44" ht="15">
      <c r="A808" s="37"/>
      <c r="B808" s="15"/>
      <c r="C808" s="37"/>
      <c r="D808" s="37"/>
      <c r="E808" s="37"/>
      <c r="F808" s="37"/>
      <c r="G808" s="32"/>
      <c r="H808" s="32"/>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row>
    <row r="809" spans="1:44" ht="15">
      <c r="A809" s="37"/>
      <c r="B809" s="15"/>
      <c r="C809" s="37"/>
      <c r="D809" s="37"/>
      <c r="E809" s="37"/>
      <c r="F809" s="37"/>
      <c r="G809" s="32"/>
      <c r="H809" s="32"/>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row>
    <row r="810" spans="1:44" ht="15">
      <c r="A810" s="37"/>
      <c r="B810" s="15"/>
      <c r="C810" s="37"/>
      <c r="D810" s="37"/>
      <c r="E810" s="37"/>
      <c r="F810" s="37"/>
      <c r="G810" s="32"/>
      <c r="H810" s="32"/>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row>
    <row r="811" spans="1:44" ht="15">
      <c r="A811" s="37"/>
      <c r="B811" s="15"/>
      <c r="C811" s="37"/>
      <c r="D811" s="37"/>
      <c r="E811" s="37"/>
      <c r="F811" s="37"/>
      <c r="G811" s="32"/>
      <c r="H811" s="32"/>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row>
    <row r="812" spans="1:44" ht="15">
      <c r="A812" s="37"/>
      <c r="B812" s="15"/>
      <c r="C812" s="37"/>
      <c r="D812" s="37"/>
      <c r="E812" s="37"/>
      <c r="F812" s="37"/>
      <c r="G812" s="32"/>
      <c r="H812" s="32"/>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row>
    <row r="813" spans="1:44" ht="15">
      <c r="A813" s="37"/>
      <c r="B813" s="15"/>
      <c r="C813" s="37"/>
      <c r="D813" s="37"/>
      <c r="E813" s="37"/>
      <c r="F813" s="37"/>
      <c r="G813" s="32"/>
      <c r="H813" s="32"/>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row>
    <row r="814" spans="1:44" ht="15">
      <c r="A814" s="37"/>
      <c r="B814" s="15"/>
      <c r="C814" s="37"/>
      <c r="D814" s="37"/>
      <c r="E814" s="37"/>
      <c r="F814" s="37"/>
      <c r="G814" s="32"/>
      <c r="H814" s="32"/>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row>
    <row r="815" spans="1:44" ht="15">
      <c r="A815" s="37"/>
      <c r="B815" s="15"/>
      <c r="C815" s="37"/>
      <c r="D815" s="37"/>
      <c r="E815" s="37"/>
      <c r="F815" s="37"/>
      <c r="G815" s="32"/>
      <c r="H815" s="32"/>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row>
    <row r="816" spans="1:44" ht="15">
      <c r="A816" s="37"/>
      <c r="B816" s="15"/>
      <c r="C816" s="37"/>
      <c r="D816" s="37"/>
      <c r="E816" s="37"/>
      <c r="F816" s="37"/>
      <c r="G816" s="32"/>
      <c r="H816" s="32"/>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row>
    <row r="817" spans="1:44" ht="15">
      <c r="A817" s="37"/>
      <c r="B817" s="15"/>
      <c r="C817" s="37"/>
      <c r="D817" s="37"/>
      <c r="E817" s="37"/>
      <c r="F817" s="37"/>
      <c r="G817" s="32"/>
      <c r="H817" s="32"/>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row>
    <row r="818" spans="1:44" ht="15">
      <c r="A818" s="37"/>
      <c r="B818" s="15"/>
      <c r="C818" s="37"/>
      <c r="D818" s="37"/>
      <c r="E818" s="37"/>
      <c r="F818" s="37"/>
      <c r="G818" s="32"/>
      <c r="H818" s="32"/>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row>
    <row r="819" spans="1:44" ht="15">
      <c r="A819" s="37"/>
      <c r="B819" s="15"/>
      <c r="C819" s="37"/>
      <c r="D819" s="37"/>
      <c r="E819" s="37"/>
      <c r="F819" s="37"/>
      <c r="G819" s="32"/>
      <c r="H819" s="32"/>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row>
    <row r="820" spans="1:44" ht="15">
      <c r="A820" s="37"/>
      <c r="B820" s="15"/>
      <c r="C820" s="37"/>
      <c r="D820" s="37"/>
      <c r="E820" s="37"/>
      <c r="F820" s="37"/>
      <c r="G820" s="32"/>
      <c r="H820" s="32"/>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row>
    <row r="821" spans="1:44" ht="15">
      <c r="A821" s="37"/>
      <c r="B821" s="15"/>
      <c r="C821" s="37"/>
      <c r="D821" s="37"/>
      <c r="E821" s="37"/>
      <c r="F821" s="37"/>
      <c r="G821" s="32"/>
      <c r="H821" s="32"/>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row>
    <row r="822" spans="1:44" ht="15">
      <c r="A822" s="37"/>
      <c r="B822" s="15"/>
      <c r="C822" s="37"/>
      <c r="D822" s="37"/>
      <c r="E822" s="37"/>
      <c r="F822" s="37"/>
      <c r="G822" s="32"/>
      <c r="H822" s="32"/>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row>
    <row r="823" spans="1:44" ht="15">
      <c r="A823" s="37"/>
      <c r="B823" s="15"/>
      <c r="C823" s="37"/>
      <c r="D823" s="37"/>
      <c r="E823" s="37"/>
      <c r="F823" s="37"/>
      <c r="G823" s="32"/>
      <c r="H823" s="32"/>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row>
    <row r="824" spans="1:44" ht="15">
      <c r="A824" s="37"/>
      <c r="B824" s="15"/>
      <c r="C824" s="37"/>
      <c r="D824" s="37"/>
      <c r="E824" s="37"/>
      <c r="F824" s="37"/>
      <c r="G824" s="32"/>
      <c r="H824" s="32"/>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row>
    <row r="825" spans="1:44" ht="15">
      <c r="A825" s="37"/>
      <c r="B825" s="15"/>
      <c r="C825" s="37"/>
      <c r="D825" s="37"/>
      <c r="E825" s="37"/>
      <c r="F825" s="37"/>
      <c r="G825" s="32"/>
      <c r="H825" s="32"/>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row>
    <row r="826" spans="1:44" ht="15">
      <c r="A826" s="37"/>
      <c r="B826" s="15"/>
      <c r="C826" s="37"/>
      <c r="D826" s="37"/>
      <c r="E826" s="37"/>
      <c r="F826" s="37"/>
      <c r="G826" s="32"/>
      <c r="H826" s="32"/>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row>
    <row r="827" spans="1:44" ht="15">
      <c r="A827" s="37"/>
      <c r="B827" s="15"/>
      <c r="C827" s="37"/>
      <c r="D827" s="37"/>
      <c r="E827" s="37"/>
      <c r="F827" s="37"/>
      <c r="G827" s="32"/>
      <c r="H827" s="32"/>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row>
    <row r="828" spans="1:44" ht="15">
      <c r="A828" s="37"/>
      <c r="B828" s="15"/>
      <c r="C828" s="37"/>
      <c r="D828" s="37"/>
      <c r="E828" s="37"/>
      <c r="F828" s="37"/>
      <c r="G828" s="32"/>
      <c r="H828" s="32"/>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row>
    <row r="829" spans="1:44" ht="15">
      <c r="A829" s="37"/>
      <c r="B829" s="15"/>
      <c r="C829" s="37"/>
      <c r="D829" s="37"/>
      <c r="E829" s="37"/>
      <c r="F829" s="37"/>
      <c r="G829" s="32"/>
      <c r="H829" s="32"/>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row>
    <row r="830" spans="1:44" ht="15">
      <c r="A830" s="37"/>
      <c r="B830" s="15"/>
      <c r="C830" s="37"/>
      <c r="D830" s="37"/>
      <c r="E830" s="37"/>
      <c r="F830" s="37"/>
      <c r="G830" s="32"/>
      <c r="H830" s="32"/>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row>
    <row r="831" spans="1:44" ht="15">
      <c r="A831" s="37"/>
      <c r="B831" s="15"/>
      <c r="C831" s="37"/>
      <c r="D831" s="37"/>
      <c r="E831" s="37"/>
      <c r="F831" s="37"/>
      <c r="G831" s="32"/>
      <c r="H831" s="32"/>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row>
    <row r="832" spans="1:44" ht="15">
      <c r="A832" s="37"/>
      <c r="B832" s="15"/>
      <c r="C832" s="37"/>
      <c r="D832" s="37"/>
      <c r="E832" s="37"/>
      <c r="F832" s="37"/>
      <c r="G832" s="32"/>
      <c r="H832" s="32"/>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row>
    <row r="833" spans="1:44" ht="15">
      <c r="A833" s="37"/>
      <c r="B833" s="15"/>
      <c r="C833" s="37"/>
      <c r="D833" s="37"/>
      <c r="E833" s="37"/>
      <c r="F833" s="37"/>
      <c r="G833" s="32"/>
      <c r="H833" s="32"/>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row>
    <row r="834" spans="1:44" ht="15">
      <c r="A834" s="37"/>
      <c r="B834" s="15"/>
      <c r="C834" s="37"/>
      <c r="D834" s="37"/>
      <c r="E834" s="37"/>
      <c r="F834" s="37"/>
      <c r="G834" s="32"/>
      <c r="H834" s="32"/>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row>
    <row r="835" spans="1:44" ht="15">
      <c r="A835" s="37"/>
      <c r="B835" s="15"/>
      <c r="C835" s="37"/>
      <c r="D835" s="37"/>
      <c r="E835" s="37"/>
      <c r="F835" s="37"/>
      <c r="G835" s="32"/>
      <c r="H835" s="32"/>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row>
    <row r="836" spans="1:44" ht="15">
      <c r="A836" s="37"/>
      <c r="B836" s="15"/>
      <c r="C836" s="37"/>
      <c r="D836" s="37"/>
      <c r="E836" s="37"/>
      <c r="F836" s="37"/>
      <c r="G836" s="32"/>
      <c r="H836" s="32"/>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row>
    <row r="837" spans="1:44" ht="15">
      <c r="A837" s="37"/>
      <c r="B837" s="15"/>
      <c r="C837" s="37"/>
      <c r="D837" s="37"/>
      <c r="E837" s="37"/>
      <c r="F837" s="37"/>
      <c r="G837" s="32"/>
      <c r="H837" s="32"/>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row>
    <row r="838" spans="1:44" ht="15">
      <c r="A838" s="37"/>
      <c r="B838" s="15"/>
      <c r="C838" s="37"/>
      <c r="D838" s="37"/>
      <c r="E838" s="37"/>
      <c r="F838" s="37"/>
      <c r="G838" s="32"/>
      <c r="H838" s="32"/>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row>
    <row r="839" spans="1:44" ht="15">
      <c r="A839" s="37"/>
      <c r="B839" s="15"/>
      <c r="C839" s="37"/>
      <c r="D839" s="37"/>
      <c r="E839" s="37"/>
      <c r="F839" s="37"/>
      <c r="G839" s="32"/>
      <c r="H839" s="32"/>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row>
    <row r="840" spans="1:44" ht="15">
      <c r="A840" s="37"/>
      <c r="B840" s="15"/>
      <c r="C840" s="37"/>
      <c r="D840" s="37"/>
      <c r="E840" s="37"/>
      <c r="F840" s="37"/>
      <c r="G840" s="32"/>
      <c r="H840" s="32"/>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row>
    <row r="841" spans="1:44" ht="15">
      <c r="A841" s="37"/>
      <c r="B841" s="15"/>
      <c r="C841" s="37"/>
      <c r="D841" s="37"/>
      <c r="E841" s="37"/>
      <c r="F841" s="37"/>
      <c r="G841" s="32"/>
      <c r="H841" s="32"/>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row>
    <row r="842" spans="1:44" ht="15">
      <c r="A842" s="37"/>
      <c r="B842" s="15"/>
      <c r="C842" s="37"/>
      <c r="D842" s="37"/>
      <c r="E842" s="37"/>
      <c r="F842" s="37"/>
      <c r="G842" s="32"/>
      <c r="H842" s="32"/>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row>
    <row r="843" spans="1:44" ht="15">
      <c r="A843" s="37"/>
      <c r="B843" s="15"/>
      <c r="C843" s="37"/>
      <c r="D843" s="37"/>
      <c r="E843" s="37"/>
      <c r="F843" s="37"/>
      <c r="G843" s="32"/>
      <c r="H843" s="32"/>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row>
    <row r="844" spans="1:44" ht="15">
      <c r="A844" s="37"/>
      <c r="B844" s="15"/>
      <c r="C844" s="37"/>
      <c r="D844" s="37"/>
      <c r="E844" s="37"/>
      <c r="F844" s="37"/>
      <c r="G844" s="32"/>
      <c r="H844" s="32"/>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row>
    <row r="845" spans="1:44" ht="15">
      <c r="A845" s="37"/>
      <c r="B845" s="15"/>
      <c r="C845" s="37"/>
      <c r="D845" s="37"/>
      <c r="E845" s="37"/>
      <c r="F845" s="37"/>
      <c r="G845" s="32"/>
      <c r="H845" s="32"/>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row>
    <row r="846" spans="1:44" ht="15">
      <c r="A846" s="37"/>
      <c r="B846" s="15"/>
      <c r="C846" s="37"/>
      <c r="D846" s="37"/>
      <c r="E846" s="37"/>
      <c r="F846" s="37"/>
      <c r="G846" s="32"/>
      <c r="H846" s="32"/>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row>
    <row r="847" spans="1:44" ht="15">
      <c r="A847" s="37"/>
      <c r="B847" s="15"/>
      <c r="C847" s="37"/>
      <c r="D847" s="37"/>
      <c r="E847" s="37"/>
      <c r="F847" s="37"/>
      <c r="G847" s="32"/>
      <c r="H847" s="32"/>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row>
    <row r="848" spans="1:44" ht="15">
      <c r="A848" s="37"/>
      <c r="B848" s="15"/>
      <c r="C848" s="37"/>
      <c r="D848" s="37"/>
      <c r="E848" s="37"/>
      <c r="F848" s="37"/>
      <c r="G848" s="32"/>
      <c r="H848" s="32"/>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row>
    <row r="849" spans="1:44" ht="15">
      <c r="A849" s="37"/>
      <c r="B849" s="15"/>
      <c r="C849" s="37"/>
      <c r="D849" s="37"/>
      <c r="E849" s="37"/>
      <c r="F849" s="37"/>
      <c r="G849" s="32"/>
      <c r="H849" s="32"/>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row>
    <row r="850" spans="1:44" ht="15">
      <c r="A850" s="37"/>
      <c r="B850" s="15"/>
      <c r="C850" s="37"/>
      <c r="D850" s="37"/>
      <c r="E850" s="37"/>
      <c r="F850" s="37"/>
      <c r="G850" s="32"/>
      <c r="H850" s="32"/>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row>
    <row r="851" spans="1:44" ht="15">
      <c r="A851" s="37"/>
      <c r="B851" s="15"/>
      <c r="C851" s="37"/>
      <c r="D851" s="37"/>
      <c r="E851" s="37"/>
      <c r="F851" s="37"/>
      <c r="G851" s="32"/>
      <c r="H851" s="32"/>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row>
    <row r="852" spans="1:44" ht="15">
      <c r="A852" s="37"/>
      <c r="B852" s="15"/>
      <c r="C852" s="37"/>
      <c r="D852" s="37"/>
      <c r="E852" s="37"/>
      <c r="F852" s="37"/>
      <c r="G852" s="32"/>
      <c r="H852" s="32"/>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row>
    <row r="853" spans="1:44" ht="15">
      <c r="A853" s="37"/>
      <c r="B853" s="15"/>
      <c r="C853" s="37"/>
      <c r="D853" s="37"/>
      <c r="E853" s="37"/>
      <c r="F853" s="37"/>
      <c r="G853" s="32"/>
      <c r="H853" s="32"/>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row>
    <row r="854" spans="1:44" ht="15">
      <c r="A854" s="37"/>
      <c r="B854" s="15"/>
      <c r="C854" s="37"/>
      <c r="D854" s="37"/>
      <c r="E854" s="37"/>
      <c r="F854" s="37"/>
      <c r="G854" s="32"/>
      <c r="H854" s="32"/>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row>
    <row r="855" spans="1:44" ht="15">
      <c r="A855" s="37"/>
      <c r="B855" s="15"/>
      <c r="C855" s="37"/>
      <c r="D855" s="37"/>
      <c r="E855" s="37"/>
      <c r="F855" s="37"/>
      <c r="G855" s="32"/>
      <c r="H855" s="32"/>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row>
    <row r="856" spans="1:44" ht="15">
      <c r="A856" s="37"/>
      <c r="B856" s="15"/>
      <c r="C856" s="37"/>
      <c r="D856" s="37"/>
      <c r="E856" s="37"/>
      <c r="F856" s="37"/>
      <c r="G856" s="32"/>
      <c r="H856" s="32"/>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row>
    <row r="857" spans="1:44" ht="15">
      <c r="A857" s="37"/>
      <c r="B857" s="15"/>
      <c r="C857" s="37"/>
      <c r="D857" s="37"/>
      <c r="E857" s="37"/>
      <c r="F857" s="37"/>
      <c r="G857" s="32"/>
      <c r="H857" s="32"/>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row>
    <row r="858" spans="1:44" ht="15">
      <c r="A858" s="37"/>
      <c r="B858" s="15"/>
      <c r="C858" s="37"/>
      <c r="D858" s="37"/>
      <c r="E858" s="37"/>
      <c r="F858" s="37"/>
      <c r="G858" s="32"/>
      <c r="H858" s="32"/>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row>
    <row r="859" spans="1:44" ht="15">
      <c r="A859" s="37"/>
      <c r="B859" s="15"/>
      <c r="C859" s="37"/>
      <c r="D859" s="37"/>
      <c r="E859" s="37"/>
      <c r="F859" s="37"/>
      <c r="G859" s="32"/>
      <c r="H859" s="32"/>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row>
    <row r="860" spans="1:44" ht="15">
      <c r="A860" s="37"/>
      <c r="B860" s="15"/>
      <c r="C860" s="37"/>
      <c r="D860" s="37"/>
      <c r="E860" s="37"/>
      <c r="F860" s="37"/>
      <c r="G860" s="32"/>
      <c r="H860" s="32"/>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row>
    <row r="861" spans="1:44" ht="15">
      <c r="A861" s="37"/>
      <c r="B861" s="15"/>
      <c r="C861" s="37"/>
      <c r="D861" s="37"/>
      <c r="E861" s="37"/>
      <c r="F861" s="37"/>
      <c r="G861" s="32"/>
      <c r="H861" s="32"/>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row>
    <row r="862" spans="1:44" ht="15">
      <c r="A862" s="37"/>
      <c r="B862" s="15"/>
      <c r="C862" s="37"/>
      <c r="D862" s="37"/>
      <c r="E862" s="37"/>
      <c r="F862" s="37"/>
      <c r="G862" s="32"/>
      <c r="H862" s="32"/>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row>
    <row r="863" spans="1:44" ht="15">
      <c r="A863" s="37"/>
      <c r="B863" s="15"/>
      <c r="C863" s="37"/>
      <c r="D863" s="37"/>
      <c r="E863" s="37"/>
      <c r="F863" s="37"/>
      <c r="G863" s="32"/>
      <c r="H863" s="32"/>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row>
    <row r="864" spans="1:44" ht="15">
      <c r="A864" s="37"/>
      <c r="B864" s="15"/>
      <c r="C864" s="37"/>
      <c r="D864" s="37"/>
      <c r="E864" s="37"/>
      <c r="F864" s="37"/>
      <c r="G864" s="32"/>
      <c r="H864" s="32"/>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row>
    <row r="865" spans="1:44" ht="15">
      <c r="A865" s="37"/>
      <c r="B865" s="15"/>
      <c r="C865" s="37"/>
      <c r="D865" s="37"/>
      <c r="E865" s="37"/>
      <c r="F865" s="37"/>
      <c r="G865" s="32"/>
      <c r="H865" s="32"/>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row>
    <row r="866" spans="1:44" ht="15">
      <c r="A866" s="37"/>
      <c r="B866" s="15"/>
      <c r="C866" s="37"/>
      <c r="D866" s="37"/>
      <c r="E866" s="37"/>
      <c r="F866" s="37"/>
      <c r="G866" s="32"/>
      <c r="H866" s="32"/>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row>
    <row r="867" spans="1:44" ht="15">
      <c r="A867" s="37"/>
      <c r="B867" s="15"/>
      <c r="C867" s="37"/>
      <c r="D867" s="37"/>
      <c r="E867" s="37"/>
      <c r="F867" s="37"/>
      <c r="G867" s="32"/>
      <c r="H867" s="32"/>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row>
    <row r="868" spans="1:44" ht="15">
      <c r="A868" s="37"/>
      <c r="B868" s="15"/>
      <c r="C868" s="37"/>
      <c r="D868" s="37"/>
      <c r="E868" s="37"/>
      <c r="F868" s="37"/>
      <c r="G868" s="32"/>
      <c r="H868" s="32"/>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row>
    <row r="869" spans="1:44" ht="15">
      <c r="A869" s="37"/>
      <c r="B869" s="15"/>
      <c r="C869" s="37"/>
      <c r="D869" s="37"/>
      <c r="E869" s="37"/>
      <c r="F869" s="37"/>
      <c r="G869" s="32"/>
      <c r="H869" s="32"/>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row>
    <row r="870" spans="1:44" ht="15">
      <c r="A870" s="37"/>
      <c r="B870" s="15"/>
      <c r="C870" s="37"/>
      <c r="D870" s="37"/>
      <c r="E870" s="37"/>
      <c r="F870" s="37"/>
      <c r="G870" s="32"/>
      <c r="H870" s="32"/>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row>
    <row r="871" spans="1:44" ht="15">
      <c r="A871" s="37"/>
      <c r="B871" s="15"/>
      <c r="C871" s="37"/>
      <c r="D871" s="37"/>
      <c r="E871" s="37"/>
      <c r="F871" s="37"/>
      <c r="G871" s="32"/>
      <c r="H871" s="32"/>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row>
    <row r="872" spans="1:44" ht="15">
      <c r="A872" s="37"/>
      <c r="B872" s="15"/>
      <c r="C872" s="37"/>
      <c r="D872" s="37"/>
      <c r="E872" s="37"/>
      <c r="F872" s="37"/>
      <c r="G872" s="32"/>
      <c r="H872" s="32"/>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row>
    <row r="873" spans="1:44" ht="15">
      <c r="A873" s="37"/>
      <c r="B873" s="15"/>
      <c r="C873" s="37"/>
      <c r="D873" s="37"/>
      <c r="E873" s="37"/>
      <c r="F873" s="37"/>
      <c r="G873" s="32"/>
      <c r="H873" s="32"/>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row>
    <row r="874" spans="1:44" ht="15">
      <c r="A874" s="37"/>
      <c r="B874" s="15"/>
      <c r="C874" s="37"/>
      <c r="D874" s="37"/>
      <c r="E874" s="37"/>
      <c r="F874" s="37"/>
      <c r="G874" s="32"/>
      <c r="H874" s="32"/>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row>
    <row r="875" spans="1:44" ht="15">
      <c r="A875" s="37"/>
      <c r="B875" s="15"/>
      <c r="C875" s="37"/>
      <c r="D875" s="37"/>
      <c r="E875" s="37"/>
      <c r="F875" s="37"/>
      <c r="G875" s="32"/>
      <c r="H875" s="32"/>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row>
    <row r="876" spans="1:44" ht="15">
      <c r="A876" s="37"/>
      <c r="B876" s="15"/>
      <c r="C876" s="37"/>
      <c r="D876" s="37"/>
      <c r="E876" s="37"/>
      <c r="F876" s="37"/>
      <c r="G876" s="32"/>
      <c r="H876" s="32"/>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row>
    <row r="877" spans="1:44" ht="15">
      <c r="A877" s="37"/>
      <c r="B877" s="15"/>
      <c r="C877" s="37"/>
      <c r="D877" s="37"/>
      <c r="E877" s="37"/>
      <c r="F877" s="37"/>
      <c r="G877" s="32"/>
      <c r="H877" s="32"/>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row>
    <row r="878" spans="1:44" ht="15">
      <c r="A878" s="37"/>
      <c r="B878" s="15"/>
      <c r="C878" s="37"/>
      <c r="D878" s="37"/>
      <c r="E878" s="37"/>
      <c r="F878" s="37"/>
      <c r="G878" s="32"/>
      <c r="H878" s="32"/>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row>
    <row r="879" spans="1:44" ht="15">
      <c r="A879" s="37"/>
      <c r="B879" s="15"/>
      <c r="C879" s="37"/>
      <c r="D879" s="37"/>
      <c r="E879" s="37"/>
      <c r="F879" s="37"/>
      <c r="G879" s="32"/>
      <c r="H879" s="32"/>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row>
    <row r="880" spans="1:44" ht="15">
      <c r="A880" s="37"/>
      <c r="B880" s="15"/>
      <c r="C880" s="37"/>
      <c r="D880" s="37"/>
      <c r="E880" s="37"/>
      <c r="F880" s="37"/>
      <c r="G880" s="32"/>
      <c r="H880" s="32"/>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row>
    <row r="881" spans="1:44" ht="15">
      <c r="A881" s="37"/>
      <c r="B881" s="15"/>
      <c r="C881" s="37"/>
      <c r="D881" s="37"/>
      <c r="E881" s="37"/>
      <c r="F881" s="37"/>
      <c r="G881" s="32"/>
      <c r="H881" s="32"/>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row>
    <row r="882" spans="1:44" ht="15">
      <c r="A882" s="37"/>
      <c r="B882" s="15"/>
      <c r="C882" s="37"/>
      <c r="D882" s="37"/>
      <c r="E882" s="37"/>
      <c r="F882" s="37"/>
      <c r="G882" s="32"/>
      <c r="H882" s="32"/>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row>
    <row r="883" spans="1:44" ht="15">
      <c r="A883" s="37"/>
      <c r="B883" s="15"/>
      <c r="C883" s="37"/>
      <c r="D883" s="37"/>
      <c r="E883" s="37"/>
      <c r="F883" s="37"/>
      <c r="G883" s="32"/>
      <c r="H883" s="32"/>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row>
    <row r="884" spans="1:44" ht="15">
      <c r="A884" s="37"/>
      <c r="B884" s="15"/>
      <c r="C884" s="37"/>
      <c r="D884" s="37"/>
      <c r="E884" s="37"/>
      <c r="F884" s="37"/>
      <c r="G884" s="32"/>
      <c r="H884" s="32"/>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row>
    <row r="885" spans="1:44" ht="15">
      <c r="A885" s="37"/>
      <c r="B885" s="15"/>
      <c r="C885" s="37"/>
      <c r="D885" s="37"/>
      <c r="E885" s="37"/>
      <c r="F885" s="37"/>
      <c r="G885" s="32"/>
      <c r="H885" s="32"/>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row>
    <row r="886" spans="1:44" ht="15">
      <c r="A886" s="37"/>
      <c r="B886" s="15"/>
      <c r="C886" s="37"/>
      <c r="D886" s="37"/>
      <c r="E886" s="37"/>
      <c r="F886" s="37"/>
      <c r="G886" s="32"/>
      <c r="H886" s="32"/>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row>
    <row r="887" spans="1:44" ht="15">
      <c r="A887" s="37"/>
      <c r="B887" s="15"/>
      <c r="C887" s="37"/>
      <c r="D887" s="37"/>
      <c r="E887" s="37"/>
      <c r="F887" s="37"/>
      <c r="G887" s="32"/>
      <c r="H887" s="32"/>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row>
    <row r="888" spans="1:44" ht="15">
      <c r="A888" s="37"/>
      <c r="B888" s="15"/>
      <c r="C888" s="37"/>
      <c r="D888" s="37"/>
      <c r="E888" s="37"/>
      <c r="F888" s="37"/>
      <c r="G888" s="32"/>
      <c r="H888" s="32"/>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row>
    <row r="889" spans="1:44" ht="15">
      <c r="A889" s="37"/>
      <c r="B889" s="15"/>
      <c r="C889" s="37"/>
      <c r="D889" s="37"/>
      <c r="E889" s="37"/>
      <c r="F889" s="37"/>
      <c r="G889" s="32"/>
      <c r="H889" s="32"/>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row>
    <row r="890" spans="1:44" ht="15">
      <c r="A890" s="37"/>
      <c r="B890" s="15"/>
      <c r="C890" s="37"/>
      <c r="D890" s="37"/>
      <c r="E890" s="37"/>
      <c r="F890" s="37"/>
      <c r="G890" s="32"/>
      <c r="H890" s="32"/>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row>
    <row r="891" spans="1:44" ht="15">
      <c r="A891" s="37"/>
      <c r="B891" s="15"/>
      <c r="C891" s="37"/>
      <c r="D891" s="37"/>
      <c r="E891" s="37"/>
      <c r="F891" s="37"/>
      <c r="G891" s="32"/>
      <c r="H891" s="32"/>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row>
    <row r="892" spans="1:44" ht="15">
      <c r="A892" s="37"/>
      <c r="B892" s="15"/>
      <c r="C892" s="37"/>
      <c r="D892" s="37"/>
      <c r="E892" s="37"/>
      <c r="F892" s="37"/>
      <c r="G892" s="32"/>
      <c r="H892" s="32"/>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row>
    <row r="893" spans="1:44" ht="15">
      <c r="A893" s="37"/>
      <c r="B893" s="15"/>
      <c r="C893" s="37"/>
      <c r="D893" s="37"/>
      <c r="E893" s="37"/>
      <c r="F893" s="37"/>
      <c r="G893" s="32"/>
      <c r="H893" s="32"/>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row>
    <row r="894" spans="1:44" ht="15">
      <c r="A894" s="37"/>
      <c r="B894" s="15"/>
      <c r="C894" s="37"/>
      <c r="D894" s="37"/>
      <c r="E894" s="37"/>
      <c r="F894" s="37"/>
      <c r="G894" s="32"/>
      <c r="H894" s="32"/>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row>
    <row r="895" spans="1:44" ht="15">
      <c r="A895" s="37"/>
      <c r="B895" s="15"/>
      <c r="C895" s="37"/>
      <c r="D895" s="37"/>
      <c r="E895" s="37"/>
      <c r="F895" s="37"/>
      <c r="G895" s="32"/>
      <c r="H895" s="32"/>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row>
    <row r="896" spans="1:44" ht="15">
      <c r="A896" s="37"/>
      <c r="B896" s="15"/>
      <c r="C896" s="37"/>
      <c r="D896" s="37"/>
      <c r="E896" s="37"/>
      <c r="F896" s="37"/>
      <c r="G896" s="32"/>
      <c r="H896" s="32"/>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row>
    <row r="897" spans="1:44" ht="15">
      <c r="A897" s="37"/>
      <c r="B897" s="15"/>
      <c r="C897" s="37"/>
      <c r="D897" s="37"/>
      <c r="E897" s="37"/>
      <c r="F897" s="37"/>
      <c r="G897" s="32"/>
      <c r="H897" s="32"/>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row>
    <row r="898" spans="1:44" ht="15">
      <c r="A898" s="37"/>
      <c r="B898" s="15"/>
      <c r="C898" s="37"/>
      <c r="D898" s="37"/>
      <c r="E898" s="37"/>
      <c r="F898" s="37"/>
      <c r="G898" s="32"/>
      <c r="H898" s="32"/>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row>
    <row r="899" spans="1:44" ht="15">
      <c r="A899" s="37"/>
      <c r="B899" s="15"/>
      <c r="C899" s="37"/>
      <c r="D899" s="37"/>
      <c r="E899" s="37"/>
      <c r="F899" s="37"/>
      <c r="G899" s="32"/>
      <c r="H899" s="32"/>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row>
    <row r="900" spans="1:44" ht="15">
      <c r="A900" s="37"/>
      <c r="B900" s="15"/>
      <c r="C900" s="37"/>
      <c r="D900" s="37"/>
      <c r="E900" s="37"/>
      <c r="F900" s="37"/>
      <c r="G900" s="32"/>
      <c r="H900" s="32"/>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row>
    <row r="901" spans="1:44" ht="15">
      <c r="A901" s="37"/>
      <c r="B901" s="15"/>
      <c r="C901" s="37"/>
      <c r="D901" s="37"/>
      <c r="E901" s="37"/>
      <c r="F901" s="37"/>
      <c r="G901" s="32"/>
      <c r="H901" s="32"/>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row>
    <row r="902" spans="1:44" ht="15">
      <c r="A902" s="37"/>
      <c r="B902" s="15"/>
      <c r="C902" s="37"/>
      <c r="D902" s="37"/>
      <c r="E902" s="37"/>
      <c r="F902" s="37"/>
      <c r="G902" s="32"/>
      <c r="H902" s="32"/>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row>
    <row r="903" spans="1:44" ht="15">
      <c r="A903" s="37"/>
      <c r="B903" s="15"/>
      <c r="C903" s="37"/>
      <c r="D903" s="37"/>
      <c r="E903" s="37"/>
      <c r="F903" s="37"/>
      <c r="G903" s="32"/>
      <c r="H903" s="32"/>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row>
    <row r="904" spans="1:44" ht="15">
      <c r="A904" s="37"/>
      <c r="B904" s="15"/>
      <c r="C904" s="37"/>
      <c r="D904" s="37"/>
      <c r="E904" s="37"/>
      <c r="F904" s="37"/>
      <c r="G904" s="32"/>
      <c r="H904" s="32"/>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row>
    <row r="905" spans="1:44" ht="15">
      <c r="A905" s="37"/>
      <c r="B905" s="15"/>
      <c r="C905" s="37"/>
      <c r="D905" s="37"/>
      <c r="E905" s="37"/>
      <c r="F905" s="37"/>
      <c r="G905" s="32"/>
      <c r="H905" s="32"/>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row>
    <row r="906" spans="1:44" ht="15">
      <c r="A906" s="37"/>
      <c r="B906" s="15"/>
      <c r="C906" s="37"/>
      <c r="D906" s="37"/>
      <c r="E906" s="37"/>
      <c r="F906" s="37"/>
      <c r="G906" s="32"/>
      <c r="H906" s="32"/>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row>
    <row r="907" spans="1:44" ht="15">
      <c r="A907" s="37"/>
      <c r="B907" s="15"/>
      <c r="C907" s="37"/>
      <c r="D907" s="37"/>
      <c r="E907" s="37"/>
      <c r="F907" s="37"/>
      <c r="G907" s="32"/>
      <c r="H907" s="32"/>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row>
    <row r="908" spans="1:44" ht="15">
      <c r="A908" s="37"/>
      <c r="B908" s="15"/>
      <c r="C908" s="37"/>
      <c r="D908" s="37"/>
      <c r="E908" s="37"/>
      <c r="F908" s="37"/>
      <c r="G908" s="32"/>
      <c r="H908" s="32"/>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row>
    <row r="909" spans="1:44" ht="15">
      <c r="A909" s="37"/>
      <c r="B909" s="15"/>
      <c r="C909" s="37"/>
      <c r="D909" s="37"/>
      <c r="E909" s="37"/>
      <c r="F909" s="37"/>
      <c r="G909" s="32"/>
      <c r="H909" s="32"/>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row>
    <row r="910" spans="1:44" ht="15">
      <c r="A910" s="37"/>
      <c r="B910" s="15"/>
      <c r="C910" s="37"/>
      <c r="D910" s="37"/>
      <c r="E910" s="37"/>
      <c r="F910" s="37"/>
      <c r="G910" s="32"/>
      <c r="H910" s="32"/>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row>
    <row r="911" spans="1:44" ht="15">
      <c r="A911" s="37"/>
      <c r="B911" s="15"/>
      <c r="C911" s="37"/>
      <c r="D911" s="37"/>
      <c r="E911" s="37"/>
      <c r="F911" s="37"/>
      <c r="G911" s="32"/>
      <c r="H911" s="32"/>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row>
    <row r="912" spans="1:44" ht="15">
      <c r="A912" s="37"/>
      <c r="B912" s="15"/>
      <c r="C912" s="37"/>
      <c r="D912" s="37"/>
      <c r="E912" s="37"/>
      <c r="F912" s="37"/>
      <c r="G912" s="32"/>
      <c r="H912" s="32"/>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row>
    <row r="913" spans="1:44" ht="15">
      <c r="A913" s="37"/>
      <c r="B913" s="15"/>
      <c r="C913" s="37"/>
      <c r="D913" s="37"/>
      <c r="E913" s="37"/>
      <c r="F913" s="37"/>
      <c r="G913" s="32"/>
      <c r="H913" s="32"/>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row>
    <row r="914" spans="1:44" ht="15">
      <c r="A914" s="37"/>
      <c r="B914" s="15"/>
      <c r="C914" s="37"/>
      <c r="D914" s="37"/>
      <c r="E914" s="37"/>
      <c r="F914" s="37"/>
      <c r="G914" s="32"/>
      <c r="H914" s="32"/>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row>
    <row r="915" spans="1:44" ht="15">
      <c r="A915" s="37"/>
      <c r="B915" s="15"/>
      <c r="C915" s="37"/>
      <c r="D915" s="37"/>
      <c r="E915" s="37"/>
      <c r="F915" s="37"/>
      <c r="G915" s="32"/>
      <c r="H915" s="32"/>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row>
    <row r="916" spans="1:44" ht="15">
      <c r="A916" s="37"/>
      <c r="B916" s="15"/>
      <c r="C916" s="37"/>
      <c r="D916" s="37"/>
      <c r="E916" s="37"/>
      <c r="F916" s="37"/>
      <c r="G916" s="32"/>
      <c r="H916" s="32"/>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row>
    <row r="917" spans="1:44" ht="15">
      <c r="A917" s="37"/>
      <c r="B917" s="15"/>
      <c r="C917" s="37"/>
      <c r="D917" s="37"/>
      <c r="E917" s="37"/>
      <c r="F917" s="37"/>
      <c r="G917" s="32"/>
      <c r="H917" s="32"/>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row>
    <row r="918" spans="1:44" ht="15">
      <c r="A918" s="37"/>
      <c r="B918" s="15"/>
      <c r="C918" s="37"/>
      <c r="D918" s="37"/>
      <c r="E918" s="37"/>
      <c r="F918" s="37"/>
      <c r="G918" s="32"/>
      <c r="H918" s="32"/>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row>
    <row r="919" spans="1:44" ht="15">
      <c r="A919" s="37"/>
      <c r="B919" s="15"/>
      <c r="C919" s="37"/>
      <c r="D919" s="37"/>
      <c r="E919" s="37"/>
      <c r="F919" s="37"/>
      <c r="G919" s="32"/>
      <c r="H919" s="32"/>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row>
    <row r="920" spans="1:44" ht="15">
      <c r="A920" s="37"/>
      <c r="B920" s="15"/>
      <c r="C920" s="37"/>
      <c r="D920" s="37"/>
      <c r="E920" s="37"/>
      <c r="F920" s="37"/>
      <c r="G920" s="32"/>
      <c r="H920" s="32"/>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row>
    <row r="921" spans="1:44" ht="15">
      <c r="A921" s="37"/>
      <c r="B921" s="15"/>
      <c r="C921" s="37"/>
      <c r="D921" s="37"/>
      <c r="E921" s="37"/>
      <c r="F921" s="37"/>
      <c r="G921" s="32"/>
      <c r="H921" s="32"/>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row>
    <row r="922" spans="1:44" ht="15">
      <c r="A922" s="37"/>
      <c r="B922" s="15"/>
      <c r="C922" s="37"/>
      <c r="D922" s="37"/>
      <c r="E922" s="37"/>
      <c r="F922" s="37"/>
      <c r="G922" s="32"/>
      <c r="H922" s="32"/>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row>
    <row r="923" spans="1:44" ht="15">
      <c r="A923" s="37"/>
      <c r="B923" s="15"/>
      <c r="C923" s="37"/>
      <c r="D923" s="37"/>
      <c r="E923" s="37"/>
      <c r="F923" s="37"/>
      <c r="G923" s="32"/>
      <c r="H923" s="32"/>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row>
    <row r="924" spans="1:44" ht="15">
      <c r="A924" s="37"/>
      <c r="B924" s="15"/>
      <c r="C924" s="37"/>
      <c r="D924" s="37"/>
      <c r="E924" s="37"/>
      <c r="F924" s="37"/>
      <c r="G924" s="32"/>
      <c r="H924" s="32"/>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row>
    <row r="925" spans="1:44" ht="15">
      <c r="A925" s="37"/>
      <c r="B925" s="15"/>
      <c r="C925" s="37"/>
      <c r="D925" s="37"/>
      <c r="E925" s="37"/>
      <c r="F925" s="37"/>
      <c r="G925" s="32"/>
      <c r="H925" s="32"/>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row>
    <row r="926" spans="1:44" ht="15">
      <c r="A926" s="37"/>
      <c r="B926" s="15"/>
      <c r="C926" s="37"/>
      <c r="D926" s="37"/>
      <c r="E926" s="37"/>
      <c r="F926" s="37"/>
      <c r="G926" s="32"/>
      <c r="H926" s="32"/>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row>
    <row r="927" spans="1:44" ht="15">
      <c r="A927" s="37"/>
      <c r="B927" s="15"/>
      <c r="C927" s="37"/>
      <c r="D927" s="37"/>
      <c r="E927" s="37"/>
      <c r="F927" s="37"/>
      <c r="G927" s="32"/>
      <c r="H927" s="32"/>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row>
    <row r="928" spans="1:44" ht="15">
      <c r="A928" s="37"/>
      <c r="B928" s="15"/>
      <c r="C928" s="37"/>
      <c r="D928" s="37"/>
      <c r="E928" s="37"/>
      <c r="F928" s="37"/>
      <c r="G928" s="32"/>
      <c r="H928" s="32"/>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row>
    <row r="929" spans="1:44" ht="15">
      <c r="A929" s="37"/>
      <c r="B929" s="15"/>
      <c r="C929" s="37"/>
      <c r="D929" s="37"/>
      <c r="E929" s="37"/>
      <c r="F929" s="37"/>
      <c r="G929" s="32"/>
      <c r="H929" s="32"/>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row>
    <row r="930" spans="1:44" ht="15">
      <c r="A930" s="37"/>
      <c r="B930" s="15"/>
      <c r="C930" s="37"/>
      <c r="D930" s="37"/>
      <c r="E930" s="37"/>
      <c r="F930" s="37"/>
      <c r="G930" s="32"/>
      <c r="H930" s="32"/>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row>
    <row r="931" spans="1:44" ht="15">
      <c r="A931" s="37"/>
      <c r="B931" s="15"/>
      <c r="C931" s="37"/>
      <c r="D931" s="37"/>
      <c r="E931" s="37"/>
      <c r="F931" s="37"/>
      <c r="G931" s="32"/>
      <c r="H931" s="32"/>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row>
    <row r="932" spans="1:44" ht="15">
      <c r="A932" s="37"/>
      <c r="B932" s="15"/>
      <c r="C932" s="37"/>
      <c r="D932" s="37"/>
      <c r="E932" s="37"/>
      <c r="F932" s="37"/>
      <c r="G932" s="32"/>
      <c r="H932" s="32"/>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row>
    <row r="933" spans="1:44" ht="15">
      <c r="A933" s="37"/>
      <c r="B933" s="15"/>
      <c r="C933" s="37"/>
      <c r="D933" s="37"/>
      <c r="E933" s="37"/>
      <c r="F933" s="37"/>
      <c r="G933" s="32"/>
      <c r="H933" s="32"/>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row>
    <row r="934" spans="1:44" ht="15">
      <c r="A934" s="37"/>
      <c r="B934" s="15"/>
      <c r="C934" s="37"/>
      <c r="D934" s="37"/>
      <c r="E934" s="37"/>
      <c r="F934" s="37"/>
      <c r="G934" s="32"/>
      <c r="H934" s="32"/>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row>
    <row r="935" spans="1:44" ht="15">
      <c r="A935" s="37"/>
      <c r="B935" s="15"/>
      <c r="C935" s="37"/>
      <c r="D935" s="37"/>
      <c r="E935" s="37"/>
      <c r="F935" s="37"/>
      <c r="G935" s="32"/>
      <c r="H935" s="32"/>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row>
    <row r="936" spans="1:44" ht="15">
      <c r="A936" s="37"/>
      <c r="B936" s="15"/>
      <c r="C936" s="37"/>
      <c r="D936" s="37"/>
      <c r="E936" s="37"/>
      <c r="F936" s="37"/>
      <c r="G936" s="32"/>
      <c r="H936" s="32"/>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row>
    <row r="937" spans="1:44" ht="15">
      <c r="A937" s="37"/>
      <c r="B937" s="15"/>
      <c r="C937" s="37"/>
      <c r="D937" s="37"/>
      <c r="E937" s="37"/>
      <c r="F937" s="37"/>
      <c r="G937" s="32"/>
      <c r="H937" s="32"/>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row>
    <row r="938" spans="1:44" ht="15">
      <c r="A938" s="37"/>
      <c r="B938" s="15"/>
      <c r="C938" s="37"/>
      <c r="D938" s="37"/>
      <c r="E938" s="37"/>
      <c r="F938" s="37"/>
      <c r="G938" s="32"/>
      <c r="H938" s="32"/>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row>
    <row r="939" spans="1:44" ht="15">
      <c r="A939" s="37"/>
      <c r="B939" s="15"/>
      <c r="C939" s="37"/>
      <c r="D939" s="37"/>
      <c r="E939" s="37"/>
      <c r="F939" s="37"/>
      <c r="G939" s="32"/>
      <c r="H939" s="32"/>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row>
    <row r="940" spans="1:44" ht="15">
      <c r="A940" s="37"/>
      <c r="B940" s="15"/>
      <c r="C940" s="37"/>
      <c r="D940" s="37"/>
      <c r="E940" s="37"/>
      <c r="F940" s="37"/>
      <c r="G940" s="32"/>
      <c r="H940" s="32"/>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row>
    <row r="941" spans="1:44" ht="15">
      <c r="A941" s="37"/>
      <c r="B941" s="15"/>
      <c r="C941" s="37"/>
      <c r="D941" s="37"/>
      <c r="E941" s="37"/>
      <c r="F941" s="37"/>
      <c r="G941" s="32"/>
      <c r="H941" s="32"/>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row>
    <row r="942" spans="1:44" ht="15">
      <c r="A942" s="37"/>
      <c r="B942" s="15"/>
      <c r="C942" s="37"/>
      <c r="D942" s="37"/>
      <c r="E942" s="37"/>
      <c r="F942" s="37"/>
      <c r="G942" s="32"/>
      <c r="H942" s="32"/>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row>
    <row r="943" spans="1:44" ht="15">
      <c r="A943" s="37"/>
      <c r="B943" s="15"/>
      <c r="C943" s="37"/>
      <c r="D943" s="37"/>
      <c r="E943" s="37"/>
      <c r="F943" s="37"/>
      <c r="G943" s="32"/>
      <c r="H943" s="32"/>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row>
    <row r="944" spans="1:44" ht="15">
      <c r="A944" s="37"/>
      <c r="B944" s="15"/>
      <c r="C944" s="37"/>
      <c r="D944" s="37"/>
      <c r="E944" s="37"/>
      <c r="F944" s="37"/>
      <c r="G944" s="32"/>
      <c r="H944" s="32"/>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row>
    <row r="945" spans="1:44" ht="15">
      <c r="A945" s="37"/>
      <c r="B945" s="15"/>
      <c r="C945" s="37"/>
      <c r="D945" s="37"/>
      <c r="E945" s="37"/>
      <c r="F945" s="37"/>
      <c r="G945" s="32"/>
      <c r="H945" s="32"/>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row>
    <row r="946" spans="1:44" ht="15">
      <c r="A946" s="37"/>
      <c r="B946" s="15"/>
      <c r="C946" s="37"/>
      <c r="D946" s="37"/>
      <c r="E946" s="37"/>
      <c r="F946" s="37"/>
      <c r="G946" s="32"/>
      <c r="H946" s="32"/>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row>
    <row r="947" spans="1:44" ht="15">
      <c r="A947" s="37"/>
      <c r="B947" s="15"/>
      <c r="C947" s="37"/>
      <c r="D947" s="37"/>
      <c r="E947" s="37"/>
      <c r="F947" s="37"/>
      <c r="G947" s="32"/>
      <c r="H947" s="32"/>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row>
    <row r="948" spans="1:44" ht="15">
      <c r="A948" s="37"/>
      <c r="B948" s="15"/>
      <c r="C948" s="37"/>
      <c r="D948" s="37"/>
      <c r="E948" s="37"/>
      <c r="F948" s="37"/>
      <c r="G948" s="32"/>
      <c r="H948" s="32"/>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row>
    <row r="949" spans="1:44" ht="15">
      <c r="A949" s="37"/>
      <c r="B949" s="15"/>
      <c r="C949" s="37"/>
      <c r="D949" s="37"/>
      <c r="E949" s="37"/>
      <c r="F949" s="37"/>
      <c r="G949" s="32"/>
      <c r="H949" s="32"/>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row>
    <row r="950" spans="1:44" ht="15">
      <c r="A950" s="37"/>
      <c r="B950" s="15"/>
      <c r="C950" s="37"/>
      <c r="D950" s="37"/>
      <c r="E950" s="37"/>
      <c r="F950" s="37"/>
      <c r="G950" s="32"/>
      <c r="H950" s="32"/>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row>
    <row r="951" spans="1:44" ht="15">
      <c r="A951" s="37"/>
      <c r="B951" s="15"/>
      <c r="C951" s="37"/>
      <c r="D951" s="37"/>
      <c r="E951" s="37"/>
      <c r="F951" s="37"/>
      <c r="G951" s="32"/>
      <c r="H951" s="32"/>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row>
    <row r="952" spans="1:44" ht="15">
      <c r="A952" s="37"/>
      <c r="B952" s="15"/>
      <c r="C952" s="37"/>
      <c r="D952" s="37"/>
      <c r="E952" s="37"/>
      <c r="F952" s="37"/>
      <c r="G952" s="32"/>
      <c r="H952" s="32"/>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row>
    <row r="953" spans="1:44" ht="15">
      <c r="A953" s="37"/>
      <c r="B953" s="15"/>
      <c r="C953" s="37"/>
      <c r="D953" s="37"/>
      <c r="E953" s="37"/>
      <c r="F953" s="37"/>
      <c r="G953" s="32"/>
      <c r="H953" s="32"/>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row>
    <row r="954" spans="1:44" ht="15">
      <c r="A954" s="37"/>
      <c r="B954" s="15"/>
      <c r="C954" s="37"/>
      <c r="D954" s="37"/>
      <c r="E954" s="37"/>
      <c r="F954" s="37"/>
      <c r="G954" s="32"/>
      <c r="H954" s="32"/>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row>
    <row r="955" spans="1:44" ht="15">
      <c r="A955" s="37"/>
      <c r="B955" s="15"/>
      <c r="C955" s="37"/>
      <c r="D955" s="37"/>
      <c r="E955" s="37"/>
      <c r="F955" s="37"/>
      <c r="G955" s="32"/>
      <c r="H955" s="32"/>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row>
    <row r="956" spans="1:44" ht="15">
      <c r="A956" s="37"/>
      <c r="B956" s="15"/>
      <c r="C956" s="37"/>
      <c r="D956" s="37"/>
      <c r="E956" s="37"/>
      <c r="F956" s="37"/>
      <c r="G956" s="32"/>
      <c r="H956" s="32"/>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row>
    <row r="957" spans="1:44" ht="15">
      <c r="A957" s="37"/>
      <c r="B957" s="15"/>
      <c r="C957" s="37"/>
      <c r="D957" s="37"/>
      <c r="E957" s="37"/>
      <c r="F957" s="37"/>
      <c r="G957" s="32"/>
      <c r="H957" s="32"/>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row>
    <row r="958" spans="1:44" ht="15">
      <c r="A958" s="37"/>
      <c r="B958" s="15"/>
      <c r="C958" s="37"/>
      <c r="D958" s="37"/>
      <c r="E958" s="37"/>
      <c r="F958" s="37"/>
      <c r="G958" s="32"/>
      <c r="H958" s="32"/>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row>
    <row r="959" spans="1:44" ht="15">
      <c r="A959" s="37"/>
      <c r="B959" s="15"/>
      <c r="C959" s="37"/>
      <c r="D959" s="37"/>
      <c r="E959" s="37"/>
      <c r="F959" s="37"/>
      <c r="G959" s="32"/>
      <c r="H959" s="32"/>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row>
    <row r="960" spans="1:44" ht="15">
      <c r="A960" s="37"/>
      <c r="B960" s="15"/>
      <c r="C960" s="37"/>
      <c r="D960" s="37"/>
      <c r="E960" s="37"/>
      <c r="F960" s="37"/>
      <c r="G960" s="32"/>
      <c r="H960" s="32"/>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row>
    <row r="961" spans="1:44" ht="15">
      <c r="A961" s="37"/>
      <c r="B961" s="15"/>
      <c r="C961" s="37"/>
      <c r="D961" s="37"/>
      <c r="E961" s="37"/>
      <c r="F961" s="37"/>
      <c r="G961" s="32"/>
      <c r="H961" s="32"/>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row>
    <row r="962" spans="1:44" ht="15">
      <c r="A962" s="37"/>
      <c r="B962" s="15"/>
      <c r="C962" s="37"/>
      <c r="D962" s="37"/>
      <c r="E962" s="37"/>
      <c r="F962" s="37"/>
      <c r="G962" s="32"/>
      <c r="H962" s="32"/>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row>
    <row r="963" spans="1:44" ht="15">
      <c r="A963" s="37"/>
      <c r="B963" s="15"/>
      <c r="C963" s="37"/>
      <c r="D963" s="37"/>
      <c r="E963" s="37"/>
      <c r="F963" s="37"/>
      <c r="G963" s="32"/>
      <c r="H963" s="32"/>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row>
    <row r="964" spans="1:44" ht="15">
      <c r="A964" s="37"/>
      <c r="B964" s="15"/>
      <c r="C964" s="37"/>
      <c r="D964" s="37"/>
      <c r="E964" s="37"/>
      <c r="F964" s="37"/>
      <c r="G964" s="32"/>
      <c r="H964" s="32"/>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row>
    <row r="965" spans="1:44" ht="15">
      <c r="A965" s="37"/>
      <c r="B965" s="15"/>
      <c r="C965" s="37"/>
      <c r="D965" s="37"/>
      <c r="E965" s="37"/>
      <c r="F965" s="37"/>
      <c r="G965" s="32"/>
      <c r="H965" s="32"/>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row>
    <row r="966" spans="1:44" ht="15">
      <c r="A966" s="37"/>
      <c r="B966" s="15"/>
      <c r="C966" s="37"/>
      <c r="D966" s="37"/>
      <c r="E966" s="37"/>
      <c r="F966" s="37"/>
      <c r="G966" s="32"/>
      <c r="H966" s="32"/>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row>
    <row r="967" spans="1:44" ht="15">
      <c r="A967" s="37"/>
      <c r="B967" s="15"/>
      <c r="C967" s="37"/>
      <c r="D967" s="37"/>
      <c r="E967" s="37"/>
      <c r="F967" s="37"/>
      <c r="G967" s="32"/>
      <c r="H967" s="32"/>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row>
    <row r="968" spans="1:44" ht="15">
      <c r="A968" s="37"/>
      <c r="B968" s="15"/>
      <c r="C968" s="37"/>
      <c r="D968" s="37"/>
      <c r="E968" s="37"/>
      <c r="F968" s="37"/>
      <c r="G968" s="32"/>
      <c r="H968" s="32"/>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row>
    <row r="969" spans="1:44" ht="15">
      <c r="A969" s="37"/>
      <c r="B969" s="15"/>
      <c r="C969" s="37"/>
      <c r="D969" s="37"/>
      <c r="E969" s="37"/>
      <c r="F969" s="37"/>
      <c r="G969" s="32"/>
      <c r="H969" s="32"/>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row>
    <row r="970" spans="1:44" ht="15">
      <c r="A970" s="37"/>
      <c r="B970" s="15"/>
      <c r="C970" s="37"/>
      <c r="D970" s="37"/>
      <c r="E970" s="37"/>
      <c r="F970" s="37"/>
      <c r="G970" s="32"/>
      <c r="H970" s="32"/>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row>
    <row r="971" spans="1:44" ht="15">
      <c r="A971" s="37"/>
      <c r="B971" s="15"/>
      <c r="C971" s="37"/>
      <c r="D971" s="37"/>
      <c r="E971" s="37"/>
      <c r="F971" s="37"/>
      <c r="G971" s="32"/>
      <c r="H971" s="32"/>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row>
    <row r="972" spans="1:44" ht="15">
      <c r="A972" s="37"/>
      <c r="B972" s="15"/>
      <c r="C972" s="37"/>
      <c r="D972" s="37"/>
      <c r="E972" s="37"/>
      <c r="F972" s="37"/>
      <c r="G972" s="32"/>
      <c r="H972" s="32"/>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row>
    <row r="973" spans="1:44" ht="15">
      <c r="A973" s="37"/>
      <c r="B973" s="15"/>
      <c r="C973" s="37"/>
      <c r="D973" s="37"/>
      <c r="E973" s="37"/>
      <c r="F973" s="37"/>
      <c r="G973" s="32"/>
      <c r="H973" s="32"/>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row>
    <row r="974" spans="1:44" ht="15">
      <c r="A974" s="37"/>
      <c r="B974" s="15"/>
      <c r="C974" s="37"/>
      <c r="D974" s="37"/>
      <c r="E974" s="37"/>
      <c r="F974" s="37"/>
      <c r="G974" s="32"/>
      <c r="H974" s="32"/>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row>
    <row r="975" spans="1:44" ht="15">
      <c r="A975" s="37"/>
      <c r="B975" s="15"/>
      <c r="C975" s="37"/>
      <c r="D975" s="37"/>
      <c r="E975" s="37"/>
      <c r="F975" s="37"/>
      <c r="G975" s="32"/>
      <c r="H975" s="32"/>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row>
    <row r="976" spans="1:44" ht="15">
      <c r="A976" s="37"/>
      <c r="B976" s="15"/>
      <c r="C976" s="37"/>
      <c r="D976" s="37"/>
      <c r="E976" s="37"/>
      <c r="F976" s="37"/>
      <c r="G976" s="32"/>
      <c r="H976" s="32"/>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row>
    <row r="977" spans="1:44" ht="15">
      <c r="A977" s="37"/>
      <c r="B977" s="15"/>
      <c r="C977" s="37"/>
      <c r="D977" s="37"/>
      <c r="E977" s="37"/>
      <c r="F977" s="37"/>
      <c r="G977" s="32"/>
      <c r="H977" s="32"/>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row>
    <row r="978" spans="1:44" ht="15">
      <c r="A978" s="37"/>
      <c r="B978" s="15"/>
      <c r="C978" s="37"/>
      <c r="D978" s="37"/>
      <c r="E978" s="37"/>
      <c r="F978" s="37"/>
      <c r="G978" s="32"/>
      <c r="H978" s="32"/>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row>
    <row r="979" spans="1:44" ht="15">
      <c r="A979" s="37"/>
      <c r="B979" s="15"/>
      <c r="C979" s="37"/>
      <c r="D979" s="37"/>
      <c r="E979" s="37"/>
      <c r="F979" s="37"/>
      <c r="G979" s="32"/>
      <c r="H979" s="32"/>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row>
    <row r="980" spans="1:44" ht="15">
      <c r="A980" s="37"/>
      <c r="B980" s="15"/>
      <c r="C980" s="37"/>
      <c r="D980" s="37"/>
      <c r="E980" s="37"/>
      <c r="F980" s="37"/>
      <c r="G980" s="32"/>
      <c r="H980" s="32"/>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row>
    <row r="981" spans="1:44" ht="15">
      <c r="A981" s="37"/>
      <c r="B981" s="15"/>
      <c r="C981" s="37"/>
      <c r="D981" s="37"/>
      <c r="E981" s="37"/>
      <c r="F981" s="37"/>
      <c r="G981" s="32"/>
      <c r="H981" s="32"/>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row>
    <row r="982" spans="1:44" ht="15">
      <c r="A982" s="37"/>
      <c r="B982" s="15"/>
      <c r="C982" s="37"/>
      <c r="D982" s="37"/>
      <c r="E982" s="37"/>
      <c r="F982" s="37"/>
      <c r="G982" s="32"/>
      <c r="H982" s="32"/>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row>
    <row r="983" spans="1:44" ht="15">
      <c r="A983" s="37"/>
      <c r="B983" s="15"/>
      <c r="C983" s="37"/>
      <c r="D983" s="37"/>
      <c r="E983" s="37"/>
      <c r="F983" s="37"/>
      <c r="G983" s="32"/>
      <c r="H983" s="32"/>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row>
    <row r="984" spans="1:44" ht="15">
      <c r="A984" s="37"/>
      <c r="B984" s="15"/>
      <c r="C984" s="37"/>
      <c r="D984" s="37"/>
      <c r="E984" s="37"/>
      <c r="F984" s="37"/>
      <c r="G984" s="32"/>
      <c r="H984" s="32"/>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row>
    <row r="985" spans="1:44" ht="15">
      <c r="A985" s="37"/>
      <c r="B985" s="15"/>
      <c r="C985" s="37"/>
      <c r="D985" s="37"/>
      <c r="E985" s="37"/>
      <c r="F985" s="37"/>
      <c r="G985" s="32"/>
      <c r="H985" s="32"/>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row>
    <row r="986" spans="1:44" ht="15">
      <c r="A986" s="37"/>
      <c r="B986" s="15"/>
      <c r="C986" s="37"/>
      <c r="D986" s="37"/>
      <c r="E986" s="37"/>
      <c r="F986" s="37"/>
      <c r="G986" s="32"/>
      <c r="H986" s="32"/>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row>
    <row r="987" spans="1:44" ht="15">
      <c r="A987" s="37"/>
      <c r="B987" s="15"/>
      <c r="C987" s="37"/>
      <c r="D987" s="37"/>
      <c r="E987" s="37"/>
      <c r="F987" s="37"/>
      <c r="G987" s="32"/>
      <c r="H987" s="32"/>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row>
    <row r="988" spans="1:44" ht="15">
      <c r="A988" s="37"/>
      <c r="B988" s="15"/>
      <c r="C988" s="37"/>
      <c r="D988" s="37"/>
      <c r="E988" s="37"/>
      <c r="F988" s="37"/>
      <c r="G988" s="32"/>
      <c r="H988" s="32"/>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row>
    <row r="989" spans="1:44" ht="15">
      <c r="A989" s="37"/>
      <c r="B989" s="15"/>
      <c r="C989" s="37"/>
      <c r="D989" s="37"/>
      <c r="E989" s="37"/>
      <c r="F989" s="37"/>
      <c r="G989" s="32"/>
      <c r="H989" s="32"/>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row>
    <row r="990" spans="1:44" ht="15">
      <c r="A990" s="37"/>
      <c r="B990" s="15"/>
      <c r="C990" s="37"/>
      <c r="D990" s="37"/>
      <c r="E990" s="37"/>
      <c r="F990" s="37"/>
      <c r="G990" s="32"/>
      <c r="H990" s="32"/>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row>
    <row r="991" spans="1:44" ht="15">
      <c r="A991" s="37"/>
      <c r="B991" s="15"/>
      <c r="C991" s="37"/>
      <c r="D991" s="37"/>
      <c r="E991" s="37"/>
      <c r="F991" s="37"/>
      <c r="G991" s="32"/>
      <c r="H991" s="32"/>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row>
    <row r="992" spans="1:44" ht="15">
      <c r="A992" s="37"/>
      <c r="B992" s="15"/>
      <c r="C992" s="37"/>
      <c r="D992" s="37"/>
      <c r="E992" s="37"/>
      <c r="F992" s="37"/>
      <c r="G992" s="32"/>
      <c r="H992" s="32"/>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row>
    <row r="993" spans="1:44" ht="15">
      <c r="A993" s="37"/>
      <c r="B993" s="15"/>
      <c r="C993" s="37"/>
      <c r="D993" s="37"/>
      <c r="E993" s="37"/>
      <c r="F993" s="37"/>
      <c r="G993" s="32"/>
      <c r="H993" s="32"/>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row>
    <row r="994" spans="1:44" ht="15">
      <c r="A994" s="37"/>
      <c r="B994" s="15"/>
      <c r="C994" s="37"/>
      <c r="D994" s="37"/>
      <c r="E994" s="37"/>
      <c r="F994" s="37"/>
      <c r="G994" s="32"/>
      <c r="H994" s="32"/>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row>
    <row r="995" spans="1:44" ht="15">
      <c r="A995" s="37"/>
      <c r="B995" s="15"/>
      <c r="C995" s="37"/>
      <c r="D995" s="37"/>
      <c r="E995" s="37"/>
      <c r="F995" s="37"/>
      <c r="G995" s="32"/>
      <c r="H995" s="32"/>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row>
    <row r="996" spans="1:44" ht="15">
      <c r="A996" s="37"/>
      <c r="B996" s="15"/>
      <c r="C996" s="37"/>
      <c r="D996" s="37"/>
      <c r="E996" s="37"/>
      <c r="F996" s="37"/>
      <c r="G996" s="32"/>
      <c r="H996" s="32"/>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row>
  </sheetData>
  <dataValidations count="3">
    <dataValidation type="list" allowBlank="1" sqref="AB3:AB43 AI3:AJ43 AB45:AB63 AI45:AJ63 AK3:AK63" xr:uid="{00000000-0002-0000-0100-000000000000}">
      <formula1>"Da,Ne"</formula1>
    </dataValidation>
    <dataValidation type="custom" allowBlank="1" showDropDown="1" sqref="R3:R63 T3:T63" xr:uid="{00000000-0002-0000-0100-000001000000}">
      <formula1>AND(ISNUMBER(R3),(NOT(OR(NOT(ISERROR(DATEVALUE(R3))), AND(ISNUMBER(R3), LEFT(CELL("format", R3))="D")))))</formula1>
    </dataValidation>
    <dataValidation allowBlank="1" showDropDown="1" sqref="H3:H63" xr:uid="{00000000-0002-0000-0100-000002000000}"/>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95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6640625" defaultRowHeight="15.75" customHeight="1"/>
  <cols>
    <col min="1" max="1" width="4" customWidth="1"/>
    <col min="2" max="2" width="15.21875" customWidth="1"/>
    <col min="4" max="4" width="20.109375" customWidth="1"/>
    <col min="6" max="6" width="28.88671875" customWidth="1"/>
    <col min="7" max="7" width="20.109375" customWidth="1"/>
    <col min="8" max="8" width="19.109375" customWidth="1"/>
    <col min="11" max="11" width="14.77734375" customWidth="1"/>
    <col min="13" max="13" width="14.21875" customWidth="1"/>
    <col min="20" max="20" width="15.33203125" customWidth="1"/>
    <col min="24" max="24" width="13.77734375" customWidth="1"/>
    <col min="28" max="28" width="13.33203125" customWidth="1"/>
    <col min="30" max="30" width="14" customWidth="1"/>
    <col min="35" max="35" width="14.109375" customWidth="1"/>
  </cols>
  <sheetData>
    <row r="1" spans="1:36" ht="24">
      <c r="A1" s="84"/>
      <c r="B1" s="85"/>
      <c r="C1" s="85"/>
      <c r="D1" s="85"/>
      <c r="E1" s="85"/>
      <c r="F1" s="85"/>
      <c r="G1" s="85"/>
      <c r="H1" s="455" t="s">
        <v>549</v>
      </c>
      <c r="I1" s="456"/>
      <c r="J1" s="456"/>
      <c r="K1" s="456"/>
      <c r="L1" s="456"/>
      <c r="M1" s="456"/>
      <c r="N1" s="456"/>
      <c r="O1" s="456"/>
      <c r="P1" s="456"/>
      <c r="Q1" s="456"/>
      <c r="R1" s="456"/>
      <c r="S1" s="457"/>
      <c r="T1" s="86"/>
      <c r="U1" s="85"/>
      <c r="V1" s="85"/>
      <c r="W1" s="85"/>
      <c r="X1" s="85"/>
      <c r="Y1" s="85"/>
      <c r="Z1" s="85"/>
      <c r="AA1" s="85"/>
      <c r="AB1" s="85"/>
      <c r="AC1" s="85"/>
      <c r="AD1" s="458"/>
      <c r="AE1" s="459"/>
      <c r="AF1" s="459"/>
      <c r="AG1" s="459"/>
      <c r="AH1" s="459"/>
      <c r="AI1" s="459"/>
      <c r="AJ1" s="85"/>
    </row>
    <row r="2" spans="1:36" ht="92.4">
      <c r="A2" s="87" t="s">
        <v>312</v>
      </c>
      <c r="B2" s="88" t="s">
        <v>550</v>
      </c>
      <c r="C2" s="89" t="s">
        <v>2</v>
      </c>
      <c r="D2" s="89" t="s">
        <v>551</v>
      </c>
      <c r="E2" s="89" t="s">
        <v>552</v>
      </c>
      <c r="F2" s="89" t="s">
        <v>553</v>
      </c>
      <c r="G2" s="89" t="s">
        <v>23</v>
      </c>
      <c r="H2" s="89" t="s">
        <v>554</v>
      </c>
      <c r="I2" s="89" t="s">
        <v>555</v>
      </c>
      <c r="J2" s="89" t="s">
        <v>556</v>
      </c>
      <c r="K2" s="90" t="s">
        <v>557</v>
      </c>
      <c r="L2" s="89" t="s">
        <v>558</v>
      </c>
      <c r="M2" s="89" t="s">
        <v>559</v>
      </c>
      <c r="N2" s="89" t="s">
        <v>560</v>
      </c>
      <c r="O2" s="89" t="s">
        <v>561</v>
      </c>
      <c r="P2" s="89" t="s">
        <v>562</v>
      </c>
      <c r="Q2" s="89" t="s">
        <v>563</v>
      </c>
      <c r="R2" s="89" t="s">
        <v>564</v>
      </c>
      <c r="S2" s="89" t="s">
        <v>565</v>
      </c>
      <c r="T2" s="89" t="s">
        <v>566</v>
      </c>
      <c r="U2" s="89" t="s">
        <v>567</v>
      </c>
      <c r="V2" s="89" t="s">
        <v>568</v>
      </c>
      <c r="W2" s="91" t="s">
        <v>569</v>
      </c>
      <c r="X2" s="92" t="s">
        <v>570</v>
      </c>
      <c r="Y2" s="92" t="s">
        <v>571</v>
      </c>
      <c r="Z2" s="92" t="s">
        <v>572</v>
      </c>
      <c r="AA2" s="92" t="s">
        <v>573</v>
      </c>
      <c r="AB2" s="92" t="s">
        <v>574</v>
      </c>
      <c r="AC2" s="92" t="s">
        <v>575</v>
      </c>
      <c r="AD2" s="92" t="s">
        <v>576</v>
      </c>
      <c r="AE2" s="92" t="s">
        <v>577</v>
      </c>
      <c r="AF2" s="93" t="s">
        <v>578</v>
      </c>
      <c r="AG2" s="93" t="s">
        <v>579</v>
      </c>
      <c r="AH2" s="93" t="s">
        <v>580</v>
      </c>
      <c r="AI2" s="93" t="s">
        <v>581</v>
      </c>
      <c r="AJ2" s="94" t="s">
        <v>582</v>
      </c>
    </row>
    <row r="3" spans="1:36" ht="79.2">
      <c r="A3" s="95">
        <v>2</v>
      </c>
      <c r="B3" s="96" t="s">
        <v>583</v>
      </c>
      <c r="C3" s="96" t="s">
        <v>40</v>
      </c>
      <c r="D3" s="96" t="s">
        <v>584</v>
      </c>
      <c r="E3" s="97"/>
      <c r="F3" s="98" t="s">
        <v>585</v>
      </c>
      <c r="G3" s="99" t="s">
        <v>586</v>
      </c>
      <c r="H3" s="100" t="s">
        <v>88</v>
      </c>
      <c r="I3" s="100" t="s">
        <v>88</v>
      </c>
      <c r="J3" s="100" t="s">
        <v>88</v>
      </c>
      <c r="K3" s="100"/>
      <c r="L3" s="100"/>
      <c r="M3" s="101"/>
      <c r="N3" s="101"/>
      <c r="O3" s="102"/>
      <c r="P3" s="102"/>
      <c r="Q3" s="102"/>
      <c r="R3" s="100"/>
      <c r="S3" s="100"/>
      <c r="T3" s="103"/>
      <c r="U3" s="104"/>
      <c r="V3" s="104"/>
      <c r="W3" s="105"/>
      <c r="X3" s="105"/>
      <c r="Y3" s="105"/>
      <c r="Z3" s="105"/>
      <c r="AA3" s="105"/>
      <c r="AB3" s="105"/>
      <c r="AC3" s="105"/>
      <c r="AD3" s="106"/>
      <c r="AE3" s="107"/>
      <c r="AF3" s="107"/>
      <c r="AG3" s="107"/>
      <c r="AH3" s="107"/>
      <c r="AI3" s="107"/>
      <c r="AJ3" s="108"/>
    </row>
    <row r="4" spans="1:36" ht="79.2">
      <c r="A4" s="95">
        <v>3</v>
      </c>
      <c r="B4" s="109" t="s">
        <v>587</v>
      </c>
      <c r="C4" s="109" t="s">
        <v>40</v>
      </c>
      <c r="D4" s="109" t="s">
        <v>588</v>
      </c>
      <c r="E4" s="110"/>
      <c r="F4" s="111" t="s">
        <v>588</v>
      </c>
      <c r="G4" s="112" t="s">
        <v>589</v>
      </c>
      <c r="H4" s="113" t="s">
        <v>88</v>
      </c>
      <c r="I4" s="113" t="s">
        <v>88</v>
      </c>
      <c r="J4" s="113" t="s">
        <v>88</v>
      </c>
      <c r="K4" s="113" t="s">
        <v>88</v>
      </c>
      <c r="L4" s="113" t="s">
        <v>88</v>
      </c>
      <c r="M4" s="107" t="s">
        <v>590</v>
      </c>
      <c r="N4" s="114" t="s">
        <v>591</v>
      </c>
      <c r="O4" s="115">
        <v>45976</v>
      </c>
      <c r="P4" s="115">
        <v>46049</v>
      </c>
      <c r="Q4" s="114" t="s">
        <v>592</v>
      </c>
      <c r="R4" s="113"/>
      <c r="S4" s="113"/>
      <c r="T4" s="106" t="s">
        <v>88</v>
      </c>
      <c r="U4" s="116" t="s">
        <v>88</v>
      </c>
      <c r="V4" s="116"/>
      <c r="W4" s="116"/>
      <c r="X4" s="116" t="s">
        <v>88</v>
      </c>
      <c r="Y4" s="116" t="s">
        <v>88</v>
      </c>
      <c r="Z4" s="116"/>
      <c r="AA4" s="116"/>
      <c r="AB4" s="116" t="s">
        <v>88</v>
      </c>
      <c r="AC4" s="116"/>
      <c r="AD4" s="107"/>
      <c r="AE4" s="107"/>
      <c r="AF4" s="107"/>
      <c r="AG4" s="107"/>
      <c r="AH4" s="107"/>
      <c r="AI4" s="107"/>
      <c r="AJ4" s="108"/>
    </row>
    <row r="5" spans="1:36" ht="50.25" customHeight="1">
      <c r="A5" s="95">
        <v>4</v>
      </c>
      <c r="B5" s="109" t="s">
        <v>593</v>
      </c>
      <c r="C5" s="109" t="s">
        <v>470</v>
      </c>
      <c r="D5" s="117" t="s">
        <v>594</v>
      </c>
      <c r="E5" s="118"/>
      <c r="F5" s="119" t="s">
        <v>595</v>
      </c>
      <c r="G5" s="120" t="s">
        <v>596</v>
      </c>
      <c r="H5" s="113" t="s">
        <v>88</v>
      </c>
      <c r="I5" s="113"/>
      <c r="J5" s="113" t="s">
        <v>88</v>
      </c>
      <c r="K5" s="113" t="s">
        <v>88</v>
      </c>
      <c r="L5" s="113" t="s">
        <v>88</v>
      </c>
      <c r="M5" s="121" t="s">
        <v>597</v>
      </c>
      <c r="N5" s="122" t="s">
        <v>598</v>
      </c>
      <c r="O5" s="123">
        <v>45978</v>
      </c>
      <c r="P5" s="124">
        <v>46008</v>
      </c>
      <c r="Q5" s="125" t="s">
        <v>599</v>
      </c>
      <c r="R5" s="106"/>
      <c r="S5" s="113"/>
      <c r="T5" s="106"/>
      <c r="U5" s="116"/>
      <c r="V5" s="116"/>
      <c r="W5" s="116"/>
      <c r="X5" s="116"/>
      <c r="Y5" s="116"/>
      <c r="Z5" s="116"/>
      <c r="AA5" s="116"/>
      <c r="AB5" s="116"/>
      <c r="AC5" s="116"/>
      <c r="AD5" s="107"/>
      <c r="AE5" s="107"/>
      <c r="AF5" s="107"/>
      <c r="AG5" s="107"/>
      <c r="AH5" s="107"/>
      <c r="AI5" s="107"/>
      <c r="AJ5" s="108"/>
    </row>
    <row r="6" spans="1:36" ht="26.4">
      <c r="A6" s="95">
        <v>6</v>
      </c>
      <c r="B6" s="109" t="s">
        <v>600</v>
      </c>
      <c r="C6" s="109" t="s">
        <v>601</v>
      </c>
      <c r="D6" s="109" t="s">
        <v>602</v>
      </c>
      <c r="E6" s="126"/>
      <c r="F6" s="127" t="s">
        <v>603</v>
      </c>
      <c r="G6" s="112" t="s">
        <v>604</v>
      </c>
      <c r="H6" s="113" t="s">
        <v>88</v>
      </c>
      <c r="I6" s="113"/>
      <c r="J6" s="113"/>
      <c r="K6" s="113"/>
      <c r="L6" s="113"/>
      <c r="M6" s="128"/>
      <c r="N6" s="129"/>
      <c r="O6" s="130"/>
      <c r="P6" s="131"/>
      <c r="Q6" s="131"/>
      <c r="R6" s="106"/>
      <c r="S6" s="113"/>
      <c r="T6" s="106"/>
      <c r="U6" s="116"/>
      <c r="V6" s="116"/>
      <c r="W6" s="116"/>
      <c r="X6" s="116"/>
      <c r="Y6" s="116"/>
      <c r="Z6" s="116"/>
      <c r="AA6" s="116"/>
      <c r="AB6" s="116"/>
      <c r="AC6" s="116"/>
      <c r="AD6" s="107"/>
      <c r="AE6" s="107"/>
      <c r="AF6" s="107"/>
      <c r="AG6" s="107"/>
      <c r="AH6" s="107"/>
      <c r="AI6" s="107"/>
      <c r="AJ6" s="108"/>
    </row>
    <row r="7" spans="1:36" ht="13.8">
      <c r="A7" s="95">
        <v>7</v>
      </c>
      <c r="B7" s="109" t="s">
        <v>605</v>
      </c>
      <c r="C7" s="109" t="s">
        <v>40</v>
      </c>
      <c r="D7" s="109" t="s">
        <v>606</v>
      </c>
      <c r="E7" s="116"/>
      <c r="F7" s="132" t="s">
        <v>607</v>
      </c>
      <c r="G7" s="112"/>
      <c r="H7" s="106"/>
      <c r="I7" s="106"/>
      <c r="J7" s="106" t="s">
        <v>88</v>
      </c>
      <c r="K7" s="106"/>
      <c r="L7" s="106" t="s">
        <v>88</v>
      </c>
      <c r="M7" s="133" t="s">
        <v>608</v>
      </c>
      <c r="N7" s="132" t="s">
        <v>609</v>
      </c>
      <c r="O7" s="130"/>
      <c r="P7" s="131"/>
      <c r="Q7" s="131"/>
      <c r="R7" s="106"/>
      <c r="S7" s="106"/>
      <c r="T7" s="106"/>
      <c r="U7" s="105"/>
      <c r="V7" s="105"/>
      <c r="W7" s="105"/>
      <c r="X7" s="105"/>
      <c r="Y7" s="105"/>
      <c r="Z7" s="105"/>
      <c r="AA7" s="105"/>
      <c r="AB7" s="105"/>
      <c r="AC7" s="105"/>
      <c r="AD7" s="106"/>
      <c r="AE7" s="107"/>
      <c r="AF7" s="107"/>
      <c r="AG7" s="107"/>
      <c r="AH7" s="106"/>
      <c r="AI7" s="106"/>
      <c r="AJ7" s="108"/>
    </row>
    <row r="8" spans="1:36" ht="53.25" customHeight="1">
      <c r="A8" s="95">
        <v>8</v>
      </c>
      <c r="B8" s="109"/>
      <c r="C8" s="109"/>
      <c r="D8" s="109"/>
      <c r="E8" s="126"/>
      <c r="F8" s="134"/>
      <c r="G8" s="135"/>
      <c r="H8" s="106"/>
      <c r="I8" s="106"/>
      <c r="J8" s="106"/>
      <c r="K8" s="106"/>
      <c r="L8" s="106"/>
      <c r="M8" s="133"/>
      <c r="N8" s="133"/>
      <c r="O8" s="130"/>
      <c r="P8" s="131"/>
      <c r="Q8" s="131"/>
      <c r="R8" s="106"/>
      <c r="S8" s="106"/>
      <c r="T8" s="106"/>
      <c r="U8" s="105"/>
      <c r="V8" s="105"/>
      <c r="W8" s="105"/>
      <c r="X8" s="105"/>
      <c r="Y8" s="105"/>
      <c r="Z8" s="105"/>
      <c r="AA8" s="105"/>
      <c r="AB8" s="105"/>
      <c r="AC8" s="105"/>
      <c r="AD8" s="106"/>
      <c r="AE8" s="107"/>
      <c r="AF8" s="106"/>
      <c r="AG8" s="106"/>
      <c r="AH8" s="106"/>
      <c r="AI8" s="107"/>
      <c r="AJ8" s="108"/>
    </row>
    <row r="9" spans="1:36" ht="13.8">
      <c r="A9" s="95">
        <v>9</v>
      </c>
      <c r="B9" s="109"/>
      <c r="C9" s="109"/>
      <c r="D9" s="109"/>
      <c r="E9" s="126"/>
      <c r="F9" s="134"/>
      <c r="G9" s="135"/>
      <c r="H9" s="106"/>
      <c r="I9" s="106"/>
      <c r="J9" s="106"/>
      <c r="K9" s="106"/>
      <c r="L9" s="106"/>
      <c r="M9" s="133"/>
      <c r="N9" s="133"/>
      <c r="O9" s="130"/>
      <c r="P9" s="131"/>
      <c r="Q9" s="131"/>
      <c r="R9" s="106"/>
      <c r="S9" s="106"/>
      <c r="T9" s="106"/>
      <c r="U9" s="116"/>
      <c r="V9" s="116"/>
      <c r="W9" s="116"/>
      <c r="X9" s="116"/>
      <c r="Y9" s="116"/>
      <c r="Z9" s="116"/>
      <c r="AA9" s="116"/>
      <c r="AB9" s="116"/>
      <c r="AC9" s="116"/>
      <c r="AD9" s="106"/>
      <c r="AE9" s="107"/>
      <c r="AF9" s="106"/>
      <c r="AG9" s="106"/>
      <c r="AH9" s="106"/>
      <c r="AI9" s="107"/>
      <c r="AJ9" s="108"/>
    </row>
    <row r="10" spans="1:36" ht="13.8">
      <c r="A10" s="95">
        <v>10</v>
      </c>
      <c r="B10" s="109"/>
      <c r="C10" s="109"/>
      <c r="D10" s="109"/>
      <c r="E10" s="126"/>
      <c r="F10" s="134"/>
      <c r="G10" s="135"/>
      <c r="H10" s="106"/>
      <c r="I10" s="106"/>
      <c r="J10" s="106"/>
      <c r="K10" s="106"/>
      <c r="L10" s="106"/>
      <c r="M10" s="133"/>
      <c r="N10" s="133"/>
      <c r="O10" s="130"/>
      <c r="P10" s="131"/>
      <c r="Q10" s="131"/>
      <c r="R10" s="106"/>
      <c r="S10" s="106"/>
      <c r="T10" s="106"/>
      <c r="U10" s="105"/>
      <c r="V10" s="105"/>
      <c r="W10" s="105"/>
      <c r="X10" s="105"/>
      <c r="Y10" s="105"/>
      <c r="Z10" s="105"/>
      <c r="AA10" s="105"/>
      <c r="AB10" s="105"/>
      <c r="AC10" s="105"/>
      <c r="AD10" s="106"/>
      <c r="AE10" s="107"/>
      <c r="AF10" s="106"/>
      <c r="AG10" s="106"/>
      <c r="AH10" s="106"/>
      <c r="AI10" s="107"/>
      <c r="AJ10" s="108"/>
    </row>
    <row r="11" spans="1:36" ht="65.25" customHeight="1">
      <c r="A11" s="95">
        <v>11</v>
      </c>
      <c r="B11" s="109"/>
      <c r="C11" s="109"/>
      <c r="D11" s="109"/>
      <c r="E11" s="126"/>
      <c r="F11" s="136"/>
      <c r="G11" s="135"/>
      <c r="H11" s="113"/>
      <c r="I11" s="106"/>
      <c r="J11" s="106"/>
      <c r="K11" s="106"/>
      <c r="L11" s="106"/>
      <c r="M11" s="112"/>
      <c r="N11" s="137"/>
      <c r="O11" s="138"/>
      <c r="P11" s="139"/>
      <c r="Q11" s="139"/>
      <c r="R11" s="106"/>
      <c r="S11" s="106"/>
      <c r="T11" s="106"/>
      <c r="U11" s="105"/>
      <c r="V11" s="105"/>
      <c r="W11" s="105"/>
      <c r="X11" s="105"/>
      <c r="Y11" s="105"/>
      <c r="Z11" s="105"/>
      <c r="AA11" s="105"/>
      <c r="AB11" s="105"/>
      <c r="AC11" s="105"/>
      <c r="AD11" s="106"/>
      <c r="AE11" s="107"/>
      <c r="AF11" s="106"/>
      <c r="AG11" s="106"/>
      <c r="AH11" s="106"/>
      <c r="AI11" s="106"/>
      <c r="AJ11" s="108"/>
    </row>
    <row r="12" spans="1:36" ht="65.25" customHeight="1">
      <c r="A12" s="95">
        <v>12</v>
      </c>
      <c r="B12" s="109"/>
      <c r="C12" s="109"/>
      <c r="D12" s="140"/>
      <c r="E12" s="141"/>
      <c r="F12" s="142"/>
      <c r="G12" s="135"/>
      <c r="H12" s="113"/>
      <c r="I12" s="106"/>
      <c r="J12" s="106"/>
      <c r="K12" s="106"/>
      <c r="L12" s="106"/>
      <c r="M12" s="112"/>
      <c r="N12" s="143"/>
      <c r="O12" s="138"/>
      <c r="P12" s="139"/>
      <c r="Q12" s="139"/>
      <c r="R12" s="106"/>
      <c r="S12" s="106"/>
      <c r="T12" s="106"/>
      <c r="U12" s="105"/>
      <c r="V12" s="105"/>
      <c r="W12" s="105"/>
      <c r="X12" s="105"/>
      <c r="Y12" s="105"/>
      <c r="Z12" s="105"/>
      <c r="AA12" s="105"/>
      <c r="AB12" s="105"/>
      <c r="AC12" s="105"/>
      <c r="AD12" s="106"/>
      <c r="AE12" s="107"/>
      <c r="AF12" s="106"/>
      <c r="AG12" s="106"/>
      <c r="AH12" s="106"/>
      <c r="AI12" s="106"/>
      <c r="AJ12" s="108"/>
    </row>
    <row r="13" spans="1:36" ht="65.25" customHeight="1">
      <c r="A13" s="95">
        <v>13</v>
      </c>
      <c r="B13" s="109"/>
      <c r="C13" s="109"/>
      <c r="D13" s="109"/>
      <c r="E13" s="141"/>
      <c r="F13" s="109"/>
      <c r="G13" s="135"/>
      <c r="H13" s="113"/>
      <c r="I13" s="106"/>
      <c r="J13" s="106"/>
      <c r="K13" s="106"/>
      <c r="L13" s="106"/>
      <c r="M13" s="112"/>
      <c r="N13" s="144"/>
      <c r="O13" s="130"/>
      <c r="P13" s="131"/>
      <c r="Q13" s="131"/>
      <c r="R13" s="106"/>
      <c r="S13" s="106"/>
      <c r="T13" s="106"/>
      <c r="U13" s="105"/>
      <c r="V13" s="105"/>
      <c r="W13" s="105"/>
      <c r="X13" s="105"/>
      <c r="Y13" s="105"/>
      <c r="Z13" s="105"/>
      <c r="AA13" s="105"/>
      <c r="AB13" s="105"/>
      <c r="AC13" s="105"/>
      <c r="AD13" s="106"/>
      <c r="AE13" s="107"/>
      <c r="AF13" s="106"/>
      <c r="AG13" s="106"/>
      <c r="AH13" s="106"/>
      <c r="AI13" s="106"/>
      <c r="AJ13" s="108"/>
    </row>
    <row r="14" spans="1:36" ht="65.25" customHeight="1">
      <c r="A14" s="95">
        <v>14</v>
      </c>
      <c r="B14" s="109"/>
      <c r="C14" s="109"/>
      <c r="D14" s="109"/>
      <c r="E14" s="145"/>
      <c r="F14" s="146"/>
      <c r="G14" s="135"/>
      <c r="H14" s="113"/>
      <c r="I14" s="106"/>
      <c r="J14" s="106"/>
      <c r="K14" s="106"/>
      <c r="L14" s="106"/>
      <c r="M14" s="112"/>
      <c r="N14" s="144"/>
      <c r="O14" s="130"/>
      <c r="P14" s="131"/>
      <c r="Q14" s="131"/>
      <c r="R14" s="106"/>
      <c r="S14" s="106"/>
      <c r="T14" s="106"/>
      <c r="U14" s="105"/>
      <c r="V14" s="105"/>
      <c r="W14" s="105"/>
      <c r="X14" s="105"/>
      <c r="Y14" s="105"/>
      <c r="Z14" s="105"/>
      <c r="AA14" s="105"/>
      <c r="AB14" s="105"/>
      <c r="AC14" s="105"/>
      <c r="AD14" s="106"/>
      <c r="AE14" s="107"/>
      <c r="AF14" s="106"/>
      <c r="AG14" s="106"/>
      <c r="AH14" s="106"/>
      <c r="AI14" s="106"/>
      <c r="AJ14" s="108"/>
    </row>
    <row r="15" spans="1:36" ht="13.8">
      <c r="A15" s="95">
        <v>15</v>
      </c>
      <c r="B15" s="109"/>
      <c r="C15" s="107"/>
      <c r="D15" s="107"/>
      <c r="E15" s="121"/>
      <c r="F15" s="109"/>
      <c r="G15" s="112"/>
      <c r="H15" s="113"/>
      <c r="I15" s="113"/>
      <c r="J15" s="113"/>
      <c r="K15" s="113"/>
      <c r="L15" s="113"/>
      <c r="M15" s="147"/>
      <c r="N15" s="147"/>
      <c r="O15" s="124"/>
      <c r="P15" s="138"/>
      <c r="Q15" s="138"/>
      <c r="R15" s="106"/>
      <c r="S15" s="106"/>
      <c r="T15" s="106"/>
      <c r="U15" s="105"/>
      <c r="V15" s="105"/>
      <c r="W15" s="105"/>
      <c r="X15" s="105"/>
      <c r="Y15" s="105"/>
      <c r="Z15" s="105"/>
      <c r="AA15" s="105"/>
      <c r="AB15" s="105"/>
      <c r="AC15" s="105"/>
      <c r="AD15" s="106"/>
      <c r="AE15" s="106"/>
      <c r="AF15" s="106"/>
      <c r="AG15" s="106"/>
      <c r="AH15" s="106"/>
      <c r="AI15" s="107"/>
      <c r="AJ15" s="108"/>
    </row>
    <row r="16" spans="1:36" ht="13.8">
      <c r="A16" s="95">
        <v>16</v>
      </c>
      <c r="B16" s="107"/>
      <c r="C16" s="107"/>
      <c r="D16" s="107"/>
      <c r="E16" s="107"/>
      <c r="F16" s="107"/>
      <c r="G16" s="114"/>
      <c r="H16" s="113"/>
      <c r="I16" s="106"/>
      <c r="J16" s="106"/>
      <c r="K16" s="106"/>
      <c r="L16" s="106"/>
      <c r="M16" s="133"/>
      <c r="N16" s="133"/>
      <c r="O16" s="131"/>
      <c r="P16" s="131"/>
      <c r="Q16" s="131"/>
      <c r="R16" s="106"/>
      <c r="S16" s="106"/>
      <c r="T16" s="106"/>
      <c r="U16" s="105"/>
      <c r="V16" s="105"/>
      <c r="W16" s="105"/>
      <c r="X16" s="105"/>
      <c r="Y16" s="105"/>
      <c r="Z16" s="105"/>
      <c r="AA16" s="105"/>
      <c r="AB16" s="105"/>
      <c r="AC16" s="105"/>
      <c r="AD16" s="106"/>
      <c r="AE16" s="106"/>
      <c r="AF16" s="106"/>
      <c r="AG16" s="106"/>
      <c r="AH16" s="106"/>
      <c r="AI16" s="107"/>
      <c r="AJ16" s="108"/>
    </row>
    <row r="17" spans="1:36" ht="13.2">
      <c r="A17" s="85"/>
      <c r="B17" s="85"/>
      <c r="C17" s="85"/>
      <c r="D17" s="85"/>
      <c r="E17" s="85"/>
      <c r="F17" s="85"/>
      <c r="G17" s="85"/>
      <c r="H17" s="85"/>
      <c r="I17" s="85"/>
      <c r="J17" s="85"/>
      <c r="K17" s="85"/>
      <c r="L17" s="85"/>
      <c r="M17" s="85"/>
      <c r="N17" s="85"/>
      <c r="O17" s="85"/>
      <c r="P17" s="85"/>
      <c r="Q17" s="85"/>
      <c r="R17" s="85"/>
      <c r="S17" s="85"/>
      <c r="T17" s="84"/>
      <c r="U17" s="85"/>
      <c r="V17" s="85"/>
      <c r="W17" s="85"/>
      <c r="X17" s="85"/>
      <c r="Y17" s="85"/>
      <c r="Z17" s="85"/>
      <c r="AA17" s="85"/>
      <c r="AB17" s="85"/>
      <c r="AC17" s="85"/>
      <c r="AD17" s="84"/>
      <c r="AE17" s="84"/>
      <c r="AF17" s="84"/>
      <c r="AG17" s="84"/>
      <c r="AH17" s="84"/>
      <c r="AI17" s="84"/>
      <c r="AJ17" s="84"/>
    </row>
    <row r="18" spans="1:36" ht="13.2">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row>
    <row r="19" spans="1:36" ht="13.2">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row>
    <row r="20" spans="1:36" ht="13.2">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row>
    <row r="21" spans="1:36" ht="13.2">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row>
    <row r="22" spans="1:36" ht="13.2">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row>
    <row r="23" spans="1:36" ht="13.2">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row>
    <row r="24" spans="1:36" ht="13.2">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row>
    <row r="25" spans="1:36" ht="13.2">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row>
    <row r="26" spans="1:36" ht="13.2">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row>
    <row r="27" spans="1:36" ht="13.2">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row>
    <row r="28" spans="1:36" ht="13.2">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row>
    <row r="29" spans="1:36" ht="13.2">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row>
    <row r="30" spans="1:36" ht="13.2">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row>
    <row r="31" spans="1:36" ht="13.2">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row>
    <row r="32" spans="1:36" ht="1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row>
    <row r="33" spans="1:36" ht="13.2">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row>
    <row r="34" spans="1:36" ht="13.2">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row>
    <row r="35" spans="1:36" ht="13.2">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row>
    <row r="36" spans="1:36" ht="13.2">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row>
    <row r="37" spans="1:36" ht="13.2">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row>
    <row r="38" spans="1:36" ht="13.2">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row>
    <row r="39" spans="1:36" ht="13.2">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row>
    <row r="40" spans="1:36" ht="13.2">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row>
    <row r="41" spans="1:36" ht="13.2">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row>
    <row r="42" spans="1:36" ht="13.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row>
    <row r="43" spans="1:36" ht="13.2">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row>
    <row r="44" spans="1:36" ht="13.2">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row>
    <row r="45" spans="1:36" ht="13.2">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row>
    <row r="46" spans="1:36" ht="13.2">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row>
    <row r="47" spans="1:36" ht="13.2">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row>
    <row r="48" spans="1:36" ht="13.2">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row>
    <row r="49" spans="1:36" ht="13.2">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row>
    <row r="50" spans="1:36" ht="13.2">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row>
    <row r="51" spans="1:36" ht="13.2">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row>
    <row r="52" spans="1:36" ht="13.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row>
    <row r="53" spans="1:36" ht="13.2">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row>
    <row r="54" spans="1:36" ht="13.2">
      <c r="A54" s="84"/>
      <c r="B54" s="84"/>
      <c r="C54" s="84"/>
      <c r="D54" s="84"/>
      <c r="E54" s="84"/>
      <c r="F54" s="85"/>
      <c r="G54" s="85"/>
      <c r="H54" s="84"/>
      <c r="I54" s="84"/>
      <c r="J54" s="84"/>
      <c r="K54" s="84"/>
      <c r="L54" s="84"/>
      <c r="M54" s="85"/>
      <c r="N54" s="148"/>
      <c r="O54" s="84"/>
      <c r="P54" s="84"/>
      <c r="Q54" s="84"/>
      <c r="R54" s="84"/>
      <c r="S54" s="84"/>
      <c r="T54" s="84"/>
      <c r="U54" s="84"/>
      <c r="V54" s="84"/>
      <c r="W54" s="84"/>
      <c r="X54" s="84"/>
      <c r="Y54" s="84"/>
      <c r="Z54" s="84"/>
      <c r="AA54" s="84"/>
      <c r="AB54" s="84"/>
      <c r="AC54" s="84"/>
      <c r="AD54" s="84"/>
      <c r="AE54" s="84"/>
      <c r="AF54" s="84"/>
      <c r="AG54" s="84"/>
      <c r="AH54" s="84"/>
      <c r="AI54" s="84"/>
      <c r="AJ54" s="84"/>
    </row>
    <row r="55" spans="1:36" ht="13.2">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row>
    <row r="56" spans="1:36" ht="13.2">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row>
    <row r="57" spans="1:36" ht="13.2">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row>
    <row r="58" spans="1:36" ht="13.2">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row>
    <row r="59" spans="1:36" ht="13.2">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row>
    <row r="60" spans="1:36" ht="13.2">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row>
    <row r="61" spans="1:36" ht="13.2">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row>
    <row r="62" spans="1:36" ht="13.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row>
    <row r="63" spans="1:36" ht="13.2">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row>
    <row r="64" spans="1:36" ht="13.2">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row>
    <row r="65" spans="1:36" ht="13.2">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row>
    <row r="66" spans="1:36" ht="13.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row>
    <row r="67" spans="1:36" ht="13.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row>
    <row r="68" spans="1:36" ht="13.2">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row>
    <row r="69" spans="1:36" ht="13.2">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row>
    <row r="70" spans="1:36" ht="13.2">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row>
    <row r="71" spans="1:36" ht="13.2">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row>
    <row r="72" spans="1:36" ht="13.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row>
    <row r="73" spans="1:36" ht="13.2">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row>
    <row r="74" spans="1:36" ht="13.2">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row>
    <row r="75" spans="1:36" ht="13.2">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row>
    <row r="76" spans="1:36" ht="13.2">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row>
    <row r="77" spans="1:36" ht="13.2">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row>
    <row r="78" spans="1:36" ht="13.2">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row>
    <row r="79" spans="1:36" ht="13.2">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row>
    <row r="80" spans="1:36" ht="13.2">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row>
    <row r="81" spans="1:36" ht="13.2">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row>
    <row r="82" spans="1:36" ht="13.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row>
    <row r="83" spans="1:36" ht="13.2">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row>
    <row r="84" spans="1:36" ht="13.2">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row>
    <row r="85" spans="1:36" ht="13.2">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row>
    <row r="86" spans="1:36" ht="13.2">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row>
    <row r="87" spans="1:36" ht="13.2">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row>
    <row r="88" spans="1:36" ht="13.2">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row>
    <row r="89" spans="1:36" ht="13.2">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row>
    <row r="90" spans="1:36" ht="13.2">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row>
    <row r="91" spans="1:36" ht="13.2">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row>
    <row r="92" spans="1:36" ht="13.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row>
    <row r="93" spans="1:36" ht="13.2">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row>
    <row r="94" spans="1:36" ht="13.2">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row>
    <row r="95" spans="1:36" ht="13.2">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row>
    <row r="96" spans="1:36" ht="13.2">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row>
    <row r="97" spans="1:36" ht="13.2">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row>
    <row r="98" spans="1:36" ht="13.2">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row>
    <row r="99" spans="1:36" ht="13.2">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row>
    <row r="100" spans="1:36" ht="13.2">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row>
    <row r="101" spans="1:36" ht="13.2">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row>
    <row r="102" spans="1:36" ht="13.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row>
    <row r="103" spans="1:36" ht="13.2">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row>
    <row r="104" spans="1:36" ht="13.2">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row>
    <row r="105" spans="1:36" ht="13.2">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row>
    <row r="106" spans="1:36" ht="13.2">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row>
    <row r="107" spans="1:36" ht="13.2">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row>
    <row r="108" spans="1:36" ht="13.2">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row>
    <row r="109" spans="1:36" ht="13.2">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row>
    <row r="110" spans="1:36" ht="13.2">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row>
    <row r="111" spans="1:36" ht="13.2">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row>
    <row r="112" spans="1:36" ht="13.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row>
    <row r="113" spans="1:36" ht="13.2">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row>
    <row r="114" spans="1:36" ht="13.2">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row>
    <row r="115" spans="1:36" ht="13.2">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row>
    <row r="116" spans="1:36" ht="13.2">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row>
    <row r="117" spans="1:36" ht="13.2">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row>
    <row r="118" spans="1:36" ht="13.2">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row>
    <row r="119" spans="1:36" ht="13.2">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row>
    <row r="120" spans="1:36" ht="13.2">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row>
    <row r="121" spans="1:36" ht="13.2">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row>
    <row r="122" spans="1:36" ht="13.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row>
    <row r="123" spans="1:36" ht="13.2">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row>
    <row r="124" spans="1:36" ht="13.2">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row>
    <row r="125" spans="1:36" ht="13.2">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row>
    <row r="126" spans="1:36" ht="13.2">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row>
    <row r="127" spans="1:36" ht="13.2">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row>
    <row r="128" spans="1:36" ht="13.2">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row>
    <row r="129" spans="1:36" ht="13.2">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row>
    <row r="130" spans="1:36" ht="13.2">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row>
    <row r="131" spans="1:36" ht="13.2">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row>
    <row r="132" spans="1:36" ht="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row>
    <row r="133" spans="1:36" ht="13.2">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row>
    <row r="134" spans="1:36" ht="13.2">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row>
    <row r="135" spans="1:36" ht="13.2">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row>
    <row r="136" spans="1:36" ht="13.2">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row>
    <row r="137" spans="1:36" ht="13.2">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row>
    <row r="138" spans="1:36" ht="13.2">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row>
    <row r="139" spans="1:36" ht="13.2">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row>
    <row r="140" spans="1:36" ht="13.2">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row>
    <row r="141" spans="1:36" ht="13.2">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row>
    <row r="142" spans="1:36" ht="13.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row>
    <row r="143" spans="1:36" ht="13.2">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row>
    <row r="144" spans="1:36" ht="13.2">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row>
    <row r="145" spans="1:36" ht="13.2">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row>
    <row r="146" spans="1:36" ht="13.2">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row>
    <row r="147" spans="1:36" ht="13.2">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row>
    <row r="148" spans="1:36" ht="13.2">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row>
    <row r="149" spans="1:36" ht="13.2">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row>
    <row r="150" spans="1:36" ht="13.2">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row>
    <row r="151" spans="1:36" ht="13.2">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row>
    <row r="152" spans="1:36" ht="13.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row>
    <row r="153" spans="1:36" ht="13.2">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row>
    <row r="154" spans="1:36" ht="13.2">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row>
    <row r="155" spans="1:36" ht="13.2">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row>
    <row r="156" spans="1:36" ht="13.2">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row>
    <row r="157" spans="1:36" ht="13.2">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row>
    <row r="158" spans="1:36" ht="13.2">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row>
    <row r="159" spans="1:36" ht="13.2">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row>
    <row r="160" spans="1:36" ht="13.2">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row>
    <row r="161" spans="1:36" ht="13.2">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row>
    <row r="162" spans="1:36" ht="13.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row>
    <row r="163" spans="1:36" ht="13.2">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row>
    <row r="164" spans="1:36" ht="13.2">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row>
    <row r="165" spans="1:36" ht="13.2">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row>
    <row r="166" spans="1:36" ht="13.2">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row>
    <row r="167" spans="1:36" ht="13.2">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row>
    <row r="168" spans="1:36" ht="13.2">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row>
    <row r="169" spans="1:36" ht="13.2">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row>
    <row r="170" spans="1:36" ht="13.2">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row>
    <row r="171" spans="1:36" ht="13.2">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row>
    <row r="172" spans="1:36" ht="13.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row>
    <row r="173" spans="1:36" ht="13.2">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row>
    <row r="174" spans="1:36" ht="13.2">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row>
    <row r="175" spans="1:36" ht="13.2">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row>
    <row r="176" spans="1:36" ht="13.2">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row>
    <row r="177" spans="1:36" ht="13.2">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row>
    <row r="178" spans="1:36" ht="13.2">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row>
    <row r="179" spans="1:36" ht="13.2">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row>
    <row r="180" spans="1:36" ht="13.2">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row>
    <row r="181" spans="1:36" ht="13.2">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row>
    <row r="182" spans="1:36" ht="13.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row>
    <row r="183" spans="1:36" ht="13.2">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row>
    <row r="184" spans="1:36" ht="13.2">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row>
    <row r="185" spans="1:36" ht="13.2">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row>
    <row r="186" spans="1:36" ht="13.2">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row>
    <row r="187" spans="1:36" ht="13.2">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row>
    <row r="188" spans="1:36" ht="13.2">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row>
    <row r="189" spans="1:36" ht="13.2">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row>
    <row r="190" spans="1:36" ht="13.2">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row>
    <row r="191" spans="1:36" ht="13.2">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row>
    <row r="192" spans="1:36" ht="13.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row>
    <row r="193" spans="1:36" ht="13.2">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row>
    <row r="194" spans="1:36" ht="13.2">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row>
    <row r="195" spans="1:36" ht="13.2">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row>
    <row r="196" spans="1:36" ht="13.2">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row>
    <row r="197" spans="1:36" ht="13.2">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row>
    <row r="198" spans="1:36" ht="13.2">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row>
    <row r="199" spans="1:36" ht="13.2">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row>
    <row r="200" spans="1:36" ht="13.2">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row>
    <row r="201" spans="1:36" ht="13.2">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row>
    <row r="202" spans="1:36" ht="13.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row>
    <row r="203" spans="1:36" ht="13.2">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row>
    <row r="204" spans="1:36" ht="13.2">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row>
    <row r="205" spans="1:36" ht="13.2">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row>
    <row r="206" spans="1:36" ht="13.2">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row>
    <row r="207" spans="1:36" ht="13.2">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row>
    <row r="208" spans="1:36" ht="13.2">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row>
    <row r="209" spans="1:36" ht="13.2">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row>
    <row r="210" spans="1:36" ht="13.2">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row>
    <row r="211" spans="1:36" ht="13.2">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row>
    <row r="212" spans="1:36" ht="13.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row>
    <row r="213" spans="1:36" ht="13.2">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row>
    <row r="214" spans="1:36" ht="13.2">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row>
    <row r="215" spans="1:36" ht="13.2">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row>
    <row r="216" spans="1:36" ht="13.2">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row>
    <row r="217" spans="1:36" ht="13.2">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row>
    <row r="218" spans="1:36" ht="13.2">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row>
    <row r="219" spans="1:36" ht="13.2">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row>
    <row r="220" spans="1:36" ht="13.2">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row>
    <row r="221" spans="1:36" ht="13.2">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row>
    <row r="222" spans="1:36" ht="13.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row>
    <row r="223" spans="1:36" ht="13.2">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row>
    <row r="224" spans="1:36" ht="13.2">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row>
    <row r="225" spans="1:36" ht="13.2">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row>
    <row r="226" spans="1:36" ht="13.2">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row>
    <row r="227" spans="1:36" ht="13.2">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row>
    <row r="228" spans="1:36" ht="13.2">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row>
    <row r="229" spans="1:36" ht="13.2">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row>
    <row r="230" spans="1:36" ht="13.2">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row>
    <row r="231" spans="1:36" ht="13.2">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row>
    <row r="232" spans="1:36" ht="1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row>
    <row r="233" spans="1:36" ht="13.2">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row>
    <row r="234" spans="1:36" ht="13.2">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row>
    <row r="235" spans="1:36" ht="13.2">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row>
    <row r="236" spans="1:36" ht="13.2">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row>
    <row r="237" spans="1:36" ht="13.2">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row>
    <row r="238" spans="1:36" ht="13.2">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row>
    <row r="239" spans="1:36" ht="13.2">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row>
    <row r="240" spans="1:36" ht="13.2">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row>
    <row r="241" spans="1:36" ht="13.2">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row>
    <row r="242" spans="1:36" ht="13.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row>
    <row r="243" spans="1:36" ht="13.2">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row>
    <row r="244" spans="1:36" ht="13.2">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row>
    <row r="245" spans="1:36" ht="13.2">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row>
    <row r="246" spans="1:36" ht="13.2">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row>
    <row r="247" spans="1:36" ht="13.2">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row>
    <row r="248" spans="1:36" ht="13.2">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row>
    <row r="249" spans="1:36" ht="13.2">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row>
    <row r="250" spans="1:36" ht="13.2">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row>
    <row r="251" spans="1:36" ht="13.2">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row>
    <row r="252" spans="1:36" ht="13.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row>
    <row r="253" spans="1:36" ht="13.2">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row>
    <row r="254" spans="1:36" ht="13.2">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row>
    <row r="255" spans="1:36" ht="13.2">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row>
    <row r="256" spans="1:36" ht="13.2">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row>
    <row r="257" spans="1:36" ht="13.2">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row>
    <row r="258" spans="1:36" ht="13.2">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row>
    <row r="259" spans="1:36" ht="13.2">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row>
    <row r="260" spans="1:36" ht="13.2">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row>
    <row r="261" spans="1:36" ht="13.2">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row>
    <row r="262" spans="1:36" ht="13.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row>
    <row r="263" spans="1:36" ht="13.2">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row>
    <row r="264" spans="1:36" ht="13.2">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row>
    <row r="265" spans="1:36" ht="13.2">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row>
    <row r="266" spans="1:36" ht="13.2">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row>
    <row r="267" spans="1:36" ht="13.2">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row>
    <row r="268" spans="1:36" ht="13.2">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row>
    <row r="269" spans="1:36" ht="13.2">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row>
    <row r="270" spans="1:36" ht="13.2">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row>
    <row r="271" spans="1:36" ht="13.2">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row>
    <row r="272" spans="1:36" ht="13.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row>
    <row r="273" spans="1:36" ht="13.2">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row>
    <row r="274" spans="1:36" ht="13.2">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row>
    <row r="275" spans="1:36" ht="13.2">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row>
    <row r="276" spans="1:36" ht="13.2">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row>
    <row r="277" spans="1:36" ht="13.2">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row>
    <row r="278" spans="1:36" ht="13.2">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row>
    <row r="279" spans="1:36" ht="13.2">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row>
    <row r="280" spans="1:36" ht="13.2">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row>
    <row r="281" spans="1:36" ht="13.2">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row>
    <row r="282" spans="1:36" ht="13.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row>
    <row r="283" spans="1:36" ht="13.2">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row>
    <row r="284" spans="1:36" ht="13.2">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row>
    <row r="285" spans="1:36" ht="13.2">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row>
    <row r="286" spans="1:36" ht="13.2">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row>
    <row r="287" spans="1:36" ht="13.2">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row>
    <row r="288" spans="1:36" ht="13.2">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row>
    <row r="289" spans="1:36" ht="13.2">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row>
    <row r="290" spans="1:36" ht="13.2">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row>
    <row r="291" spans="1:36" ht="13.2">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row>
    <row r="292" spans="1:36" ht="13.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row>
    <row r="293" spans="1:36" ht="13.2">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row>
    <row r="294" spans="1:36" ht="13.2">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row>
    <row r="295" spans="1:36" ht="13.2">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row>
    <row r="296" spans="1:36" ht="13.2">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row>
    <row r="297" spans="1:36" ht="13.2">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row>
    <row r="298" spans="1:36" ht="13.2">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row>
    <row r="299" spans="1:36" ht="13.2">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row>
    <row r="300" spans="1:36" ht="13.2">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row>
    <row r="301" spans="1:36" ht="13.2">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row>
    <row r="302" spans="1:36" ht="13.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row>
    <row r="303" spans="1:36" ht="13.2">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row>
    <row r="304" spans="1:36" ht="13.2">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row>
    <row r="305" spans="1:36" ht="13.2">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row>
    <row r="306" spans="1:36" ht="13.2">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row>
    <row r="307" spans="1:36" ht="13.2">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row>
    <row r="308" spans="1:36" ht="13.2">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row>
    <row r="309" spans="1:36" ht="13.2">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row>
    <row r="310" spans="1:36" ht="13.2">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row>
    <row r="311" spans="1:36" ht="13.2">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row>
    <row r="312" spans="1:36" ht="13.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row>
    <row r="313" spans="1:36" ht="13.2">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row>
    <row r="314" spans="1:36" ht="13.2">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row>
    <row r="315" spans="1:36" ht="13.2">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row>
    <row r="316" spans="1:36" ht="13.2">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row>
    <row r="317" spans="1:36" ht="13.2">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row>
    <row r="318" spans="1:36" ht="13.2">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row>
    <row r="319" spans="1:36" ht="13.2">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row>
    <row r="320" spans="1:36" ht="13.2">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row>
    <row r="321" spans="1:36" ht="13.2">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row>
    <row r="322" spans="1:36" ht="13.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row>
    <row r="323" spans="1:36" ht="13.2">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row>
    <row r="324" spans="1:36" ht="13.2">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row>
    <row r="325" spans="1:36" ht="13.2">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row>
    <row r="326" spans="1:36" ht="13.2">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row>
    <row r="327" spans="1:36" ht="13.2">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row>
    <row r="328" spans="1:36" ht="13.2">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row>
    <row r="329" spans="1:36" ht="13.2">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row>
    <row r="330" spans="1:36" ht="13.2">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row>
    <row r="331" spans="1:36" ht="13.2">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row>
    <row r="332" spans="1:36" ht="1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row>
    <row r="333" spans="1:36" ht="13.2">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row>
    <row r="334" spans="1:36" ht="13.2">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row>
    <row r="335" spans="1:36" ht="13.2">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row>
    <row r="336" spans="1:36" ht="13.2">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row>
    <row r="337" spans="1:36" ht="13.2">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row>
    <row r="338" spans="1:36" ht="13.2">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row>
    <row r="339" spans="1:36" ht="13.2">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row>
    <row r="340" spans="1:36" ht="13.2">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row>
    <row r="341" spans="1:36" ht="13.2">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row>
    <row r="342" spans="1:36" ht="13.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row>
    <row r="343" spans="1:36" ht="13.2">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row>
    <row r="344" spans="1:36" ht="13.2">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row>
    <row r="345" spans="1:36" ht="13.2">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row>
    <row r="346" spans="1:36" ht="13.2">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row>
    <row r="347" spans="1:36" ht="13.2">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row>
    <row r="348" spans="1:36" ht="13.2">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row>
    <row r="349" spans="1:36" ht="13.2">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row>
    <row r="350" spans="1:36" ht="13.2">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row>
    <row r="351" spans="1:36" ht="13.2">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row>
    <row r="352" spans="1:36" ht="13.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row>
    <row r="353" spans="1:36" ht="13.2">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row>
    <row r="354" spans="1:36" ht="13.2">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row>
    <row r="355" spans="1:36" ht="13.2">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row>
    <row r="356" spans="1:36" ht="13.2">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row>
    <row r="357" spans="1:36" ht="13.2">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row>
    <row r="358" spans="1:36" ht="13.2">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row>
    <row r="359" spans="1:36" ht="13.2">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row>
    <row r="360" spans="1:36" ht="13.2">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row>
    <row r="361" spans="1:36" ht="13.2">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row>
    <row r="362" spans="1:36" ht="13.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row>
    <row r="363" spans="1:36" ht="13.2">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row>
    <row r="364" spans="1:36" ht="13.2">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row>
    <row r="365" spans="1:36" ht="13.2">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row>
    <row r="366" spans="1:36" ht="13.2">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row>
    <row r="367" spans="1:36" ht="13.2">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row>
    <row r="368" spans="1:36" ht="13.2">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row>
    <row r="369" spans="1:36" ht="13.2">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row>
    <row r="370" spans="1:36" ht="13.2">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row>
    <row r="371" spans="1:36" ht="13.2">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row>
    <row r="372" spans="1:36" ht="13.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row>
    <row r="373" spans="1:36" ht="13.2">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row>
    <row r="374" spans="1:36" ht="13.2">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row>
    <row r="375" spans="1:36" ht="13.2">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row>
    <row r="376" spans="1:36" ht="13.2">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row>
    <row r="377" spans="1:36" ht="13.2">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row>
    <row r="378" spans="1:36" ht="13.2">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row>
    <row r="379" spans="1:36" ht="13.2">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row>
    <row r="380" spans="1:36" ht="13.2">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row>
    <row r="381" spans="1:36" ht="13.2">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row>
    <row r="382" spans="1:36" ht="13.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row>
    <row r="383" spans="1:36" ht="13.2">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row>
    <row r="384" spans="1:36" ht="13.2">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row>
    <row r="385" spans="1:36" ht="13.2">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row>
    <row r="386" spans="1:36" ht="13.2">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row>
    <row r="387" spans="1:36" ht="13.2">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row>
    <row r="388" spans="1:36" ht="13.2">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row>
    <row r="389" spans="1:36" ht="13.2">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row>
    <row r="390" spans="1:36" ht="13.2">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row>
    <row r="391" spans="1:36" ht="13.2">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row>
    <row r="392" spans="1:36" ht="13.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row>
    <row r="393" spans="1:36" ht="13.2">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row>
    <row r="394" spans="1:36" ht="13.2">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row>
    <row r="395" spans="1:36" ht="13.2">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row>
    <row r="396" spans="1:36" ht="13.2">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row>
    <row r="397" spans="1:36" ht="13.2">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row>
    <row r="398" spans="1:36" ht="13.2">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row>
    <row r="399" spans="1:36" ht="13.2">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row>
    <row r="400" spans="1:36" ht="13.2">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row>
    <row r="401" spans="1:36" ht="13.2">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row>
    <row r="402" spans="1:36" ht="13.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row>
    <row r="403" spans="1:36" ht="13.2">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row>
    <row r="404" spans="1:36" ht="13.2">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row>
    <row r="405" spans="1:36" ht="13.2">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row>
    <row r="406" spans="1:36" ht="13.2">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row>
    <row r="407" spans="1:36" ht="13.2">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row>
    <row r="408" spans="1:36" ht="13.2">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row>
    <row r="409" spans="1:36" ht="13.2">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row>
    <row r="410" spans="1:36" ht="13.2">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row>
    <row r="411" spans="1:36" ht="13.2">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row>
    <row r="412" spans="1:36" ht="13.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row>
    <row r="413" spans="1:36" ht="13.2">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row>
    <row r="414" spans="1:36" ht="13.2">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row>
    <row r="415" spans="1:36" ht="13.2">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row>
    <row r="416" spans="1:36" ht="13.2">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row>
    <row r="417" spans="1:36" ht="13.2">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row>
    <row r="418" spans="1:36" ht="13.2">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row>
    <row r="419" spans="1:36" ht="13.2">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row>
    <row r="420" spans="1:36" ht="13.2">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row>
    <row r="421" spans="1:36" ht="13.2">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row>
    <row r="422" spans="1:36" ht="13.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row>
    <row r="423" spans="1:36" ht="13.2">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row>
    <row r="424" spans="1:36" ht="13.2">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row>
    <row r="425" spans="1:36" ht="13.2">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row>
    <row r="426" spans="1:36" ht="13.2">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row>
    <row r="427" spans="1:36" ht="13.2">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row>
    <row r="428" spans="1:36" ht="13.2">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row>
    <row r="429" spans="1:36" ht="13.2">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row>
    <row r="430" spans="1:36" ht="13.2">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row>
    <row r="431" spans="1:36" ht="13.2">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row>
    <row r="432" spans="1:36" ht="1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row>
    <row r="433" spans="1:36" ht="13.2">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row>
    <row r="434" spans="1:36" ht="13.2">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row>
    <row r="435" spans="1:36" ht="13.2">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row>
    <row r="436" spans="1:36" ht="13.2">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row>
    <row r="437" spans="1:36" ht="13.2">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row>
    <row r="438" spans="1:36" ht="13.2">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row>
    <row r="439" spans="1:36" ht="13.2">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row>
    <row r="440" spans="1:36" ht="13.2">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row>
    <row r="441" spans="1:36" ht="13.2">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row>
    <row r="442" spans="1:36" ht="13.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row>
    <row r="443" spans="1:36" ht="13.2">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row>
    <row r="444" spans="1:36" ht="13.2">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row>
    <row r="445" spans="1:36" ht="13.2">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row>
    <row r="446" spans="1:36" ht="13.2">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row>
    <row r="447" spans="1:36" ht="13.2">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row>
    <row r="448" spans="1:36" ht="13.2">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row>
    <row r="449" spans="1:36" ht="13.2">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row>
    <row r="450" spans="1:36" ht="13.2">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row>
    <row r="451" spans="1:36" ht="13.2">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row>
    <row r="452" spans="1:36" ht="13.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row>
    <row r="453" spans="1:36" ht="13.2">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row>
    <row r="454" spans="1:36" ht="13.2">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row>
    <row r="455" spans="1:36" ht="13.2">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row>
    <row r="456" spans="1:36" ht="13.2">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row>
    <row r="457" spans="1:36" ht="13.2">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row>
    <row r="458" spans="1:36" ht="13.2">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row>
    <row r="459" spans="1:36" ht="13.2">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row>
    <row r="460" spans="1:36" ht="13.2">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row>
    <row r="461" spans="1:36" ht="13.2">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row>
    <row r="462" spans="1:36" ht="13.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row>
    <row r="463" spans="1:36" ht="13.2">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row>
    <row r="464" spans="1:36" ht="13.2">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row>
    <row r="465" spans="1:36" ht="13.2">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row>
    <row r="466" spans="1:36" ht="13.2">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row>
    <row r="467" spans="1:36" ht="13.2">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row>
    <row r="468" spans="1:36" ht="13.2">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row>
    <row r="469" spans="1:36" ht="13.2">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row>
    <row r="470" spans="1:36" ht="13.2">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row>
    <row r="471" spans="1:36" ht="13.2">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row>
    <row r="472" spans="1:36" ht="13.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row>
    <row r="473" spans="1:36" ht="13.2">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row>
    <row r="474" spans="1:36" ht="13.2">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row>
    <row r="475" spans="1:36" ht="13.2">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row>
    <row r="476" spans="1:36" ht="13.2">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row>
    <row r="477" spans="1:36" ht="13.2">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row>
    <row r="478" spans="1:36" ht="13.2">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row>
    <row r="479" spans="1:36" ht="13.2">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row>
    <row r="480" spans="1:36" ht="13.2">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row>
    <row r="481" spans="1:36" ht="13.2">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row>
    <row r="482" spans="1:36" ht="13.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row>
    <row r="483" spans="1:36" ht="13.2">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row>
    <row r="484" spans="1:36" ht="13.2">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row>
    <row r="485" spans="1:36" ht="13.2">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row>
    <row r="486" spans="1:36" ht="13.2">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row>
    <row r="487" spans="1:36" ht="13.2">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row>
    <row r="488" spans="1:36" ht="13.2">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row>
    <row r="489" spans="1:36" ht="13.2">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row>
    <row r="490" spans="1:36" ht="13.2">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row>
    <row r="491" spans="1:36" ht="13.2">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row>
    <row r="492" spans="1:36" ht="13.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row>
    <row r="493" spans="1:36" ht="13.2">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row>
    <row r="494" spans="1:36" ht="13.2">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row>
    <row r="495" spans="1:36" ht="13.2">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row>
    <row r="496" spans="1:36" ht="13.2">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row>
    <row r="497" spans="1:36" ht="13.2">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row>
    <row r="498" spans="1:36" ht="13.2">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row>
    <row r="499" spans="1:36" ht="13.2">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row>
    <row r="500" spans="1:36" ht="13.2">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row>
    <row r="501" spans="1:36" ht="13.2">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row>
    <row r="502" spans="1:36" ht="13.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row>
    <row r="503" spans="1:36" ht="13.2">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row>
    <row r="504" spans="1:36" ht="13.2">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row>
    <row r="505" spans="1:36" ht="13.2">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row>
    <row r="506" spans="1:36" ht="13.2">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row>
    <row r="507" spans="1:36" ht="13.2">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row>
    <row r="508" spans="1:36" ht="13.2">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row>
    <row r="509" spans="1:36" ht="13.2">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row>
    <row r="510" spans="1:36" ht="13.2">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row>
    <row r="511" spans="1:36" ht="13.2">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row>
    <row r="512" spans="1:36" ht="13.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row>
    <row r="513" spans="1:36" ht="13.2">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row>
    <row r="514" spans="1:36" ht="13.2">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row>
    <row r="515" spans="1:36" ht="13.2">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row>
    <row r="516" spans="1:36" ht="13.2">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row>
    <row r="517" spans="1:36" ht="13.2">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row>
    <row r="518" spans="1:36" ht="13.2">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row>
    <row r="519" spans="1:36" ht="13.2">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row>
    <row r="520" spans="1:36" ht="13.2">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row>
    <row r="521" spans="1:36" ht="13.2">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row>
    <row r="522" spans="1:36" ht="13.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row>
    <row r="523" spans="1:36" ht="13.2">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row>
    <row r="524" spans="1:36" ht="13.2">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row>
    <row r="525" spans="1:36" ht="13.2">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row>
    <row r="526" spans="1:36" ht="13.2">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row>
    <row r="527" spans="1:36" ht="13.2">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row>
    <row r="528" spans="1:36" ht="13.2">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row>
    <row r="529" spans="1:36" ht="13.2">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row>
    <row r="530" spans="1:36" ht="13.2">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row>
    <row r="531" spans="1:36" ht="13.2">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row>
    <row r="532" spans="1:36" ht="1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row>
    <row r="533" spans="1:36" ht="13.2">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row>
    <row r="534" spans="1:36" ht="13.2">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row>
    <row r="535" spans="1:36" ht="13.2">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row>
    <row r="536" spans="1:36" ht="13.2">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row>
    <row r="537" spans="1:36" ht="13.2">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row>
    <row r="538" spans="1:36" ht="13.2">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row>
    <row r="539" spans="1:36" ht="13.2">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row>
    <row r="540" spans="1:36" ht="13.2">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row>
    <row r="541" spans="1:36" ht="13.2">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row>
    <row r="542" spans="1:36" ht="13.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row>
    <row r="543" spans="1:36" ht="13.2">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row>
    <row r="544" spans="1:36" ht="13.2">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row>
    <row r="545" spans="1:36" ht="13.2">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row>
    <row r="546" spans="1:36" ht="13.2">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row>
    <row r="547" spans="1:36" ht="13.2">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row>
    <row r="548" spans="1:36" ht="13.2">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row>
    <row r="549" spans="1:36" ht="13.2">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row>
    <row r="550" spans="1:36" ht="13.2">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row>
    <row r="551" spans="1:36" ht="13.2">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row>
    <row r="552" spans="1:36" ht="13.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row>
    <row r="553" spans="1:36" ht="13.2">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row>
    <row r="554" spans="1:36" ht="13.2">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row>
    <row r="555" spans="1:36" ht="13.2">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row>
    <row r="556" spans="1:36" ht="13.2">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row>
    <row r="557" spans="1:36" ht="13.2">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row>
    <row r="558" spans="1:36" ht="13.2">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row>
    <row r="559" spans="1:36" ht="13.2">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row>
    <row r="560" spans="1:36" ht="13.2">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row>
    <row r="561" spans="1:36" ht="13.2">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row>
    <row r="562" spans="1:36" ht="13.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row>
    <row r="563" spans="1:36" ht="13.2">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row>
    <row r="564" spans="1:36" ht="13.2">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row>
    <row r="565" spans="1:36" ht="13.2">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row>
    <row r="566" spans="1:36" ht="13.2">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row>
    <row r="567" spans="1:36" ht="13.2">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row>
    <row r="568" spans="1:36" ht="13.2">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row>
    <row r="569" spans="1:36" ht="13.2">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row>
    <row r="570" spans="1:36" ht="13.2">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row>
    <row r="571" spans="1:36" ht="13.2">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row>
    <row r="572" spans="1:36" ht="13.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row>
    <row r="573" spans="1:36" ht="13.2">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row>
    <row r="574" spans="1:36" ht="13.2">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row>
    <row r="575" spans="1:36" ht="13.2">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row>
    <row r="576" spans="1:36" ht="13.2">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row>
    <row r="577" spans="1:36" ht="13.2">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row>
    <row r="578" spans="1:36" ht="13.2">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row>
    <row r="579" spans="1:36" ht="13.2">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row>
    <row r="580" spans="1:36" ht="13.2">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row>
    <row r="581" spans="1:36" ht="13.2">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row>
    <row r="582" spans="1:36" ht="13.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row>
    <row r="583" spans="1:36" ht="13.2">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row>
    <row r="584" spans="1:36" ht="13.2">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row>
    <row r="585" spans="1:36" ht="13.2">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row>
    <row r="586" spans="1:36" ht="13.2">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row>
    <row r="587" spans="1:36" ht="13.2">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row>
    <row r="588" spans="1:36" ht="13.2">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row>
    <row r="589" spans="1:36" ht="13.2">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row>
    <row r="590" spans="1:36" ht="13.2">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row>
    <row r="591" spans="1:36" ht="13.2">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row>
    <row r="592" spans="1:36" ht="13.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row>
    <row r="593" spans="1:36" ht="13.2">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row>
    <row r="594" spans="1:36" ht="13.2">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row>
    <row r="595" spans="1:36" ht="13.2">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row>
    <row r="596" spans="1:36" ht="13.2">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row>
    <row r="597" spans="1:36" ht="13.2">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row>
    <row r="598" spans="1:36" ht="13.2">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row>
    <row r="599" spans="1:36" ht="13.2">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row>
    <row r="600" spans="1:36" ht="13.2">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row>
    <row r="601" spans="1:36" ht="13.2">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row>
    <row r="602" spans="1:36" ht="13.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row>
    <row r="603" spans="1:36" ht="13.2">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row>
    <row r="604" spans="1:36" ht="13.2">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row>
    <row r="605" spans="1:36" ht="13.2">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row>
    <row r="606" spans="1:36" ht="13.2">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row>
    <row r="607" spans="1:36" ht="13.2">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row>
    <row r="608" spans="1:36" ht="13.2">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row>
    <row r="609" spans="1:36" ht="13.2">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row>
    <row r="610" spans="1:36" ht="13.2">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row>
    <row r="611" spans="1:36" ht="13.2">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row>
    <row r="612" spans="1:36" ht="13.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row>
    <row r="613" spans="1:36" ht="13.2">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row>
    <row r="614" spans="1:36" ht="13.2">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row>
    <row r="615" spans="1:36" ht="13.2">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row>
    <row r="616" spans="1:36" ht="13.2">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row>
    <row r="617" spans="1:36" ht="13.2">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row>
    <row r="618" spans="1:36" ht="13.2">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row>
    <row r="619" spans="1:36" ht="13.2">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row>
    <row r="620" spans="1:36" ht="13.2">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row>
    <row r="621" spans="1:36" ht="13.2">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row>
    <row r="622" spans="1:36" ht="13.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row>
    <row r="623" spans="1:36" ht="13.2">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row>
    <row r="624" spans="1:36" ht="13.2">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row>
    <row r="625" spans="1:36" ht="13.2">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row>
    <row r="626" spans="1:36" ht="13.2">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row>
    <row r="627" spans="1:36" ht="13.2">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row>
    <row r="628" spans="1:36" ht="13.2">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row>
    <row r="629" spans="1:36" ht="13.2">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row>
    <row r="630" spans="1:36" ht="13.2">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row>
    <row r="631" spans="1:36" ht="13.2">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row>
    <row r="632" spans="1:36" ht="1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row>
    <row r="633" spans="1:36" ht="13.2">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row>
    <row r="634" spans="1:36" ht="13.2">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row>
    <row r="635" spans="1:36" ht="13.2">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row>
    <row r="636" spans="1:36" ht="13.2">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row>
    <row r="637" spans="1:36" ht="13.2">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row>
    <row r="638" spans="1:36" ht="13.2">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row>
    <row r="639" spans="1:36" ht="13.2">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row>
    <row r="640" spans="1:36" ht="13.2">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row>
    <row r="641" spans="1:36" ht="13.2">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row>
    <row r="642" spans="1:36" ht="13.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row>
    <row r="643" spans="1:36" ht="13.2">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row>
    <row r="644" spans="1:36" ht="13.2">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row>
    <row r="645" spans="1:36" ht="13.2">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row>
    <row r="646" spans="1:36" ht="13.2">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row>
    <row r="647" spans="1:36" ht="13.2">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row>
    <row r="648" spans="1:36" ht="13.2">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row>
    <row r="649" spans="1:36" ht="13.2">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row>
    <row r="650" spans="1:36" ht="13.2">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row>
    <row r="651" spans="1:36" ht="13.2">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row>
    <row r="652" spans="1:36" ht="13.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row>
    <row r="653" spans="1:36" ht="13.2">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row>
    <row r="654" spans="1:36" ht="13.2">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row>
    <row r="655" spans="1:36" ht="13.2">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row>
    <row r="656" spans="1:36" ht="13.2">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row>
    <row r="657" spans="1:36" ht="13.2">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row>
    <row r="658" spans="1:36" ht="13.2">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row>
    <row r="659" spans="1:36" ht="13.2">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row>
    <row r="660" spans="1:36" ht="13.2">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row>
    <row r="661" spans="1:36" ht="13.2">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row>
    <row r="662" spans="1:36" ht="13.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row>
    <row r="663" spans="1:36" ht="13.2">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row>
    <row r="664" spans="1:36" ht="13.2">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row>
    <row r="665" spans="1:36" ht="13.2">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row>
    <row r="666" spans="1:36" ht="13.2">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row>
    <row r="667" spans="1:36" ht="13.2">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row>
    <row r="668" spans="1:36" ht="13.2">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row>
    <row r="669" spans="1:36" ht="13.2">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row>
    <row r="670" spans="1:36" ht="13.2">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row>
    <row r="671" spans="1:36" ht="13.2">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row>
    <row r="672" spans="1:36" ht="13.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row>
    <row r="673" spans="1:36" ht="13.2">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row>
    <row r="674" spans="1:36" ht="13.2">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row>
    <row r="675" spans="1:36" ht="13.2">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row>
    <row r="676" spans="1:36" ht="13.2">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row>
    <row r="677" spans="1:36" ht="13.2">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row>
    <row r="678" spans="1:36" ht="13.2">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row>
    <row r="679" spans="1:36" ht="13.2">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row>
    <row r="680" spans="1:36" ht="13.2">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row>
    <row r="681" spans="1:36" ht="13.2">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row>
    <row r="682" spans="1:36" ht="13.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row>
    <row r="683" spans="1:36" ht="13.2">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row>
    <row r="684" spans="1:36" ht="13.2">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row>
    <row r="685" spans="1:36" ht="13.2">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row>
    <row r="686" spans="1:36" ht="13.2">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row>
    <row r="687" spans="1:36" ht="13.2">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row>
    <row r="688" spans="1:36" ht="13.2">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row>
    <row r="689" spans="1:36" ht="13.2">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row>
    <row r="690" spans="1:36" ht="13.2">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row>
    <row r="691" spans="1:36" ht="13.2">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row>
    <row r="692" spans="1:36" ht="13.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row>
    <row r="693" spans="1:36" ht="13.2">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row>
    <row r="694" spans="1:36" ht="13.2">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row>
    <row r="695" spans="1:36" ht="13.2">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row>
    <row r="696" spans="1:36" ht="13.2">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row>
    <row r="697" spans="1:36" ht="13.2">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row>
    <row r="698" spans="1:36" ht="13.2">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row>
    <row r="699" spans="1:36" ht="13.2">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row>
    <row r="700" spans="1:36" ht="13.2">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row>
    <row r="701" spans="1:36" ht="13.2">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row>
    <row r="702" spans="1:36" ht="13.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row>
    <row r="703" spans="1:36" ht="13.2">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row>
    <row r="704" spans="1:36" ht="13.2">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row>
    <row r="705" spans="1:36" ht="13.2">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row>
    <row r="706" spans="1:36" ht="13.2">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row>
    <row r="707" spans="1:36" ht="13.2">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row>
    <row r="708" spans="1:36" ht="13.2">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row>
    <row r="709" spans="1:36" ht="13.2">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row>
    <row r="710" spans="1:36" ht="13.2">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row>
    <row r="711" spans="1:36" ht="13.2">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row>
    <row r="712" spans="1:36" ht="13.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row>
    <row r="713" spans="1:36" ht="13.2">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row>
    <row r="714" spans="1:36" ht="13.2">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row>
    <row r="715" spans="1:36" ht="13.2">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row>
    <row r="716" spans="1:36" ht="13.2">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row>
    <row r="717" spans="1:36" ht="13.2">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row>
    <row r="718" spans="1:36" ht="13.2">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row>
    <row r="719" spans="1:36" ht="13.2">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row>
    <row r="720" spans="1:36" ht="13.2">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row>
    <row r="721" spans="1:36" ht="13.2">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row>
    <row r="722" spans="1:36" ht="13.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row>
    <row r="723" spans="1:36" ht="13.2">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row>
    <row r="724" spans="1:36" ht="13.2">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row>
    <row r="725" spans="1:36" ht="13.2">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row>
    <row r="726" spans="1:36" ht="13.2">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row>
    <row r="727" spans="1:36" ht="13.2">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row>
    <row r="728" spans="1:36" ht="13.2">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row>
    <row r="729" spans="1:36" ht="13.2">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row>
    <row r="730" spans="1:36" ht="13.2">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row>
    <row r="731" spans="1:36" ht="13.2">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row>
    <row r="732" spans="1:36" ht="1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row>
    <row r="733" spans="1:36" ht="13.2">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row>
    <row r="734" spans="1:36" ht="13.2">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row>
    <row r="735" spans="1:36" ht="13.2">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row>
    <row r="736" spans="1:36" ht="13.2">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row>
    <row r="737" spans="1:36" ht="13.2">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row>
    <row r="738" spans="1:36" ht="13.2">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row>
    <row r="739" spans="1:36" ht="13.2">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row>
    <row r="740" spans="1:36" ht="13.2">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row>
    <row r="741" spans="1:36" ht="13.2">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row>
    <row r="742" spans="1:36" ht="13.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row>
    <row r="743" spans="1:36" ht="13.2">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row>
    <row r="744" spans="1:36" ht="13.2">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row>
    <row r="745" spans="1:36" ht="13.2">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row>
    <row r="746" spans="1:36" ht="13.2">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row>
    <row r="747" spans="1:36" ht="13.2">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row>
    <row r="748" spans="1:36" ht="13.2">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row>
    <row r="749" spans="1:36" ht="13.2">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row>
    <row r="750" spans="1:36" ht="13.2">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row>
    <row r="751" spans="1:36" ht="13.2">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row>
    <row r="752" spans="1:36" ht="13.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row>
    <row r="753" spans="1:36" ht="13.2">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row>
    <row r="754" spans="1:36" ht="13.2">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row>
    <row r="755" spans="1:36" ht="13.2">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row>
    <row r="756" spans="1:36" ht="13.2">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row>
    <row r="757" spans="1:36" ht="13.2">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row>
    <row r="758" spans="1:36" ht="13.2">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row>
    <row r="759" spans="1:36" ht="13.2">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row>
    <row r="760" spans="1:36" ht="13.2">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row>
    <row r="761" spans="1:36" ht="13.2">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row>
    <row r="762" spans="1:36" ht="13.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row>
    <row r="763" spans="1:36" ht="13.2">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row>
    <row r="764" spans="1:36" ht="13.2">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row>
    <row r="765" spans="1:36" ht="13.2">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row>
    <row r="766" spans="1:36" ht="13.2">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row>
    <row r="767" spans="1:36" ht="13.2">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row>
    <row r="768" spans="1:36" ht="13.2">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row>
    <row r="769" spans="1:36" ht="13.2">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row>
    <row r="770" spans="1:36" ht="13.2">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row>
    <row r="771" spans="1:36" ht="13.2">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row>
    <row r="772" spans="1:36" ht="13.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row>
    <row r="773" spans="1:36" ht="13.2">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row>
    <row r="774" spans="1:36" ht="13.2">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row>
    <row r="775" spans="1:36" ht="13.2">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row>
    <row r="776" spans="1:36" ht="13.2">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row>
    <row r="777" spans="1:36" ht="13.2">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row>
    <row r="778" spans="1:36" ht="13.2">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row>
    <row r="779" spans="1:36" ht="13.2">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row>
    <row r="780" spans="1:36" ht="13.2">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row>
    <row r="781" spans="1:36" ht="13.2">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row>
    <row r="782" spans="1:36" ht="13.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row>
    <row r="783" spans="1:36" ht="13.2">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row>
    <row r="784" spans="1:36" ht="13.2">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row>
    <row r="785" spans="1:36" ht="13.2">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row>
    <row r="786" spans="1:36" ht="13.2">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row>
    <row r="787" spans="1:36" ht="13.2">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row>
    <row r="788" spans="1:36" ht="13.2">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row>
    <row r="789" spans="1:36" ht="13.2">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row>
    <row r="790" spans="1:36" ht="13.2">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row>
    <row r="791" spans="1:36" ht="13.2">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row>
    <row r="792" spans="1:36" ht="13.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row>
    <row r="793" spans="1:36" ht="13.2">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row>
    <row r="794" spans="1:36" ht="13.2">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row>
    <row r="795" spans="1:36" ht="13.2">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row>
    <row r="796" spans="1:36" ht="13.2">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row>
    <row r="797" spans="1:36" ht="13.2">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row>
    <row r="798" spans="1:36" ht="13.2">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row>
    <row r="799" spans="1:36" ht="13.2">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row>
    <row r="800" spans="1:36" ht="13.2">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row>
    <row r="801" spans="1:36" ht="13.2">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row>
    <row r="802" spans="1:36" ht="13.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row>
    <row r="803" spans="1:36" ht="13.2">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row>
    <row r="804" spans="1:36" ht="13.2">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row>
    <row r="805" spans="1:36" ht="13.2">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row>
    <row r="806" spans="1:36" ht="13.2">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row>
    <row r="807" spans="1:36" ht="13.2">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row>
    <row r="808" spans="1:36" ht="13.2">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row>
    <row r="809" spans="1:36" ht="13.2">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row>
    <row r="810" spans="1:36" ht="13.2">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row>
    <row r="811" spans="1:36" ht="13.2">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row>
    <row r="812" spans="1:36" ht="13.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row>
    <row r="813" spans="1:36" ht="13.2">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row>
    <row r="814" spans="1:36" ht="13.2">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row>
    <row r="815" spans="1:36" ht="13.2">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row>
    <row r="816" spans="1:36" ht="13.2">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row>
    <row r="817" spans="1:36" ht="13.2">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row>
    <row r="818" spans="1:36" ht="13.2">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row>
    <row r="819" spans="1:36" ht="13.2">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row>
    <row r="820" spans="1:36" ht="13.2">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row>
    <row r="821" spans="1:36" ht="13.2">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row>
    <row r="822" spans="1:36" ht="13.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row>
    <row r="823" spans="1:36" ht="13.2">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row>
    <row r="824" spans="1:36" ht="13.2">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row>
    <row r="825" spans="1:36" ht="13.2">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row>
    <row r="826" spans="1:36" ht="13.2">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row>
    <row r="827" spans="1:36" ht="13.2">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row>
    <row r="828" spans="1:36" ht="13.2">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row>
    <row r="829" spans="1:36" ht="13.2">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row>
    <row r="830" spans="1:36" ht="13.2">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row>
    <row r="831" spans="1:36" ht="13.2">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row>
    <row r="832" spans="1:36" ht="1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row>
    <row r="833" spans="1:36" ht="13.2">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row>
    <row r="834" spans="1:36" ht="13.2">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row>
    <row r="835" spans="1:36" ht="13.2">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row>
    <row r="836" spans="1:36" ht="13.2">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row>
    <row r="837" spans="1:36" ht="13.2">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row>
    <row r="838" spans="1:36" ht="13.2">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row>
    <row r="839" spans="1:36" ht="13.2">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row>
    <row r="840" spans="1:36" ht="13.2">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row>
    <row r="841" spans="1:36" ht="13.2">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row>
    <row r="842" spans="1:36" ht="13.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row>
    <row r="843" spans="1:36" ht="13.2">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row>
    <row r="844" spans="1:36" ht="13.2">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row>
    <row r="845" spans="1:36" ht="13.2">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row>
    <row r="846" spans="1:36" ht="13.2">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row>
    <row r="847" spans="1:36" ht="13.2">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row>
    <row r="848" spans="1:36" ht="13.2">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row>
    <row r="849" spans="1:36" ht="13.2">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row>
    <row r="850" spans="1:36" ht="13.2">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row>
    <row r="851" spans="1:36" ht="13.2">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row>
    <row r="852" spans="1:36" ht="13.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row>
    <row r="853" spans="1:36" ht="13.2">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row>
    <row r="854" spans="1:36" ht="13.2">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row>
    <row r="855" spans="1:36" ht="13.2">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row>
    <row r="856" spans="1:36" ht="13.2">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row>
    <row r="857" spans="1:36" ht="13.2">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row>
    <row r="858" spans="1:36" ht="13.2">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row>
    <row r="859" spans="1:36" ht="13.2">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row>
    <row r="860" spans="1:36" ht="13.2">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row>
    <row r="861" spans="1:36" ht="13.2">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row>
    <row r="862" spans="1:36" ht="13.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row>
    <row r="863" spans="1:36" ht="13.2">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row>
    <row r="864" spans="1:36" ht="13.2">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row>
    <row r="865" spans="1:36" ht="13.2">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row>
    <row r="866" spans="1:36" ht="13.2">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row>
    <row r="867" spans="1:36" ht="13.2">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row>
    <row r="868" spans="1:36" ht="13.2">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row>
    <row r="869" spans="1:36" ht="13.2">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row>
    <row r="870" spans="1:36" ht="13.2">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row>
    <row r="871" spans="1:36" ht="13.2">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row>
    <row r="872" spans="1:36" ht="13.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row>
    <row r="873" spans="1:36" ht="13.2">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row>
    <row r="874" spans="1:36" ht="13.2">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row>
    <row r="875" spans="1:36" ht="13.2">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row>
    <row r="876" spans="1:36" ht="13.2">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row>
    <row r="877" spans="1:36" ht="13.2">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row>
    <row r="878" spans="1:36" ht="13.2">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row>
    <row r="879" spans="1:36" ht="13.2">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row>
    <row r="880" spans="1:36" ht="13.2">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row>
    <row r="881" spans="1:36" ht="13.2">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row>
    <row r="882" spans="1:36" ht="13.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row>
    <row r="883" spans="1:36" ht="13.2">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row>
    <row r="884" spans="1:36" ht="13.2">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row>
    <row r="885" spans="1:36" ht="13.2">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row>
    <row r="886" spans="1:36" ht="13.2">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row>
    <row r="887" spans="1:36" ht="13.2">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row>
    <row r="888" spans="1:36" ht="13.2">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row>
    <row r="889" spans="1:36" ht="13.2">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row>
    <row r="890" spans="1:36" ht="13.2">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row>
    <row r="891" spans="1:36" ht="13.2">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row>
    <row r="892" spans="1:36" ht="13.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row>
    <row r="893" spans="1:36" ht="13.2">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row>
    <row r="894" spans="1:36" ht="13.2">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row>
    <row r="895" spans="1:36" ht="13.2">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row>
    <row r="896" spans="1:36" ht="13.2">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row>
    <row r="897" spans="1:36" ht="13.2">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row>
    <row r="898" spans="1:36" ht="13.2">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row>
    <row r="899" spans="1:36" ht="13.2">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row>
    <row r="900" spans="1:36" ht="13.2">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row>
    <row r="901" spans="1:36" ht="13.2">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row>
    <row r="902" spans="1:36" ht="13.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row>
    <row r="903" spans="1:36" ht="13.2">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row>
    <row r="904" spans="1:36" ht="13.2">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row>
    <row r="905" spans="1:36" ht="13.2">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row>
    <row r="906" spans="1:36" ht="13.2">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row>
    <row r="907" spans="1:36" ht="13.2">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row>
    <row r="908" spans="1:36" ht="13.2">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row>
    <row r="909" spans="1:36" ht="13.2">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row>
    <row r="910" spans="1:36" ht="13.2">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row>
    <row r="911" spans="1:36" ht="13.2">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row>
    <row r="912" spans="1:36" ht="13.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row>
    <row r="913" spans="1:36" ht="13.2">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row>
    <row r="914" spans="1:36" ht="13.2">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row>
    <row r="915" spans="1:36" ht="13.2">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row>
    <row r="916" spans="1:36" ht="13.2">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row>
    <row r="917" spans="1:36" ht="13.2">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row>
    <row r="918" spans="1:36" ht="13.2">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row>
    <row r="919" spans="1:36" ht="13.2">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row>
    <row r="920" spans="1:36" ht="13.2">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row>
    <row r="921" spans="1:36" ht="13.2">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row>
    <row r="922" spans="1:36" ht="13.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row>
    <row r="923" spans="1:36" ht="13.2">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row>
    <row r="924" spans="1:36" ht="13.2">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row>
    <row r="925" spans="1:36" ht="13.2">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row>
    <row r="926" spans="1:36" ht="13.2">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row>
    <row r="927" spans="1:36" ht="13.2">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row>
    <row r="928" spans="1:36" ht="13.2">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row>
    <row r="929" spans="1:36" ht="13.2">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row>
    <row r="930" spans="1:36" ht="13.2">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row>
    <row r="931" spans="1:36" ht="13.2">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row>
    <row r="932" spans="1:36" ht="1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row>
    <row r="933" spans="1:36" ht="13.2">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row>
    <row r="934" spans="1:36" ht="13.2">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row>
    <row r="935" spans="1:36" ht="13.2">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row>
    <row r="936" spans="1:36" ht="13.2">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row>
    <row r="937" spans="1:36" ht="13.2">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row>
    <row r="938" spans="1:36" ht="13.2">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row>
    <row r="939" spans="1:36" ht="13.2">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row>
    <row r="940" spans="1:36" ht="13.2">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row>
    <row r="941" spans="1:36" ht="13.2">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row>
    <row r="942" spans="1:36" ht="13.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row>
    <row r="943" spans="1:36" ht="13.2">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row>
    <row r="944" spans="1:36" ht="13.2">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row>
    <row r="945" spans="1:36" ht="13.2">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row>
    <row r="946" spans="1:36" ht="13.2">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row>
    <row r="947" spans="1:36" ht="13.2">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row>
    <row r="948" spans="1:36" ht="13.2">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row>
    <row r="949" spans="1:36" ht="13.2">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row>
    <row r="950" spans="1:36" ht="13.2">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row>
  </sheetData>
  <autoFilter ref="A2:AJ16" xr:uid="{00000000-0009-0000-0000-000002000000}"/>
  <mergeCells count="2">
    <mergeCell ref="H1:S1"/>
    <mergeCell ref="AD1:AI1"/>
  </mergeCells>
  <dataValidations count="3">
    <dataValidation type="list" allowBlank="1" showErrorMessage="1" sqref="R3:S16 U3:AC16 H3:L16 AE3:AI16" xr:uid="{00000000-0002-0000-0200-000000000000}">
      <formula1>"DA,NE"</formula1>
    </dataValidation>
    <dataValidation type="list" allowBlank="1" showErrorMessage="1" sqref="AD3:AD16" xr:uid="{00000000-0002-0000-0200-000001000000}">
      <formula1>"DA, sve,DA, samo flajeri,DA, samo plakat,NE"</formula1>
    </dataValidation>
    <dataValidation type="list" allowBlank="1" showErrorMessage="1" sqref="T3:T16" xr:uid="{00000000-0002-0000-0200-000002000000}">
      <formula1>"DA,NE,Javili se da ne mogu"</formula1>
    </dataValidation>
  </dataValidations>
  <hyperlinks>
    <hyperlink ref="F3" r:id="rId1" xr:uid="{00000000-0004-0000-0200-000000000000}"/>
    <hyperlink ref="F4" r:id="rId2" xr:uid="{00000000-0004-0000-0200-000001000000}"/>
    <hyperlink ref="F5" r:id="rId3" xr:uid="{00000000-0004-0000-0200-000002000000}"/>
    <hyperlink ref="F6" r:id="rId4"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2"/>
  <sheetViews>
    <sheetView workbookViewId="0"/>
  </sheetViews>
  <sheetFormatPr defaultColWidth="12.6640625" defaultRowHeight="15.75" customHeight="1"/>
  <cols>
    <col min="1" max="1" width="7.109375" customWidth="1"/>
    <col min="2" max="2" width="17.6640625" customWidth="1"/>
    <col min="3" max="3" width="12.77734375" customWidth="1"/>
    <col min="4" max="4" width="14.21875" customWidth="1"/>
    <col min="6" max="6" width="17.6640625" customWidth="1"/>
    <col min="12" max="12" width="14.77734375" customWidth="1"/>
  </cols>
  <sheetData>
    <row r="1" spans="1:19" ht="82.8">
      <c r="A1" s="149" t="s">
        <v>312</v>
      </c>
      <c r="B1" s="150" t="s">
        <v>550</v>
      </c>
      <c r="C1" s="150" t="s">
        <v>2</v>
      </c>
      <c r="D1" s="151" t="s">
        <v>610</v>
      </c>
      <c r="E1" s="151" t="s">
        <v>552</v>
      </c>
      <c r="F1" s="151" t="s">
        <v>553</v>
      </c>
      <c r="G1" s="151" t="s">
        <v>611</v>
      </c>
      <c r="H1" s="151" t="s">
        <v>612</v>
      </c>
      <c r="I1" s="151" t="s">
        <v>556</v>
      </c>
      <c r="J1" s="151" t="s">
        <v>557</v>
      </c>
      <c r="K1" s="151" t="s">
        <v>558</v>
      </c>
      <c r="L1" s="151" t="s">
        <v>559</v>
      </c>
      <c r="M1" s="89" t="s">
        <v>560</v>
      </c>
      <c r="N1" s="89" t="s">
        <v>561</v>
      </c>
      <c r="O1" s="89" t="s">
        <v>562</v>
      </c>
      <c r="P1" s="89" t="s">
        <v>563</v>
      </c>
      <c r="Q1" s="89" t="s">
        <v>564</v>
      </c>
      <c r="R1" s="89" t="s">
        <v>565</v>
      </c>
      <c r="S1" s="152" t="s">
        <v>23</v>
      </c>
    </row>
    <row r="2" spans="1:19" ht="15.75" customHeight="1">
      <c r="A2" s="153"/>
      <c r="B2" s="154" t="s">
        <v>613</v>
      </c>
      <c r="C2" s="154"/>
      <c r="D2" s="153"/>
      <c r="E2" s="155"/>
      <c r="F2" s="155"/>
      <c r="G2" s="155"/>
      <c r="H2" s="155"/>
      <c r="I2" s="155"/>
      <c r="J2" s="155"/>
      <c r="K2" s="155"/>
      <c r="L2" s="153"/>
      <c r="M2" s="153"/>
      <c r="N2" s="156"/>
      <c r="O2" s="153"/>
      <c r="P2" s="153"/>
      <c r="Q2" s="155"/>
      <c r="R2" s="155"/>
      <c r="S2" s="153"/>
    </row>
    <row r="3" spans="1:19" ht="39.6">
      <c r="A3" s="113">
        <v>1</v>
      </c>
      <c r="B3" s="157" t="s">
        <v>614</v>
      </c>
      <c r="C3" s="157" t="s">
        <v>40</v>
      </c>
      <c r="D3" s="135" t="s">
        <v>615</v>
      </c>
      <c r="E3" s="158" t="s">
        <v>616</v>
      </c>
      <c r="F3" s="142" t="s">
        <v>617</v>
      </c>
      <c r="G3" s="159"/>
      <c r="H3" s="159" t="s">
        <v>88</v>
      </c>
      <c r="I3" s="159" t="s">
        <v>88</v>
      </c>
      <c r="J3" s="159" t="s">
        <v>88</v>
      </c>
      <c r="K3" s="159" t="s">
        <v>88</v>
      </c>
      <c r="L3" s="157" t="s">
        <v>618</v>
      </c>
      <c r="M3" s="135" t="s">
        <v>619</v>
      </c>
      <c r="N3" s="160">
        <v>45932</v>
      </c>
      <c r="O3" s="160">
        <v>46184</v>
      </c>
      <c r="P3" s="157" t="s">
        <v>620</v>
      </c>
      <c r="Q3" s="160"/>
      <c r="R3" s="160"/>
      <c r="S3" s="157"/>
    </row>
    <row r="4" spans="1:19" ht="39.6">
      <c r="A4" s="100">
        <v>2</v>
      </c>
      <c r="B4" s="161" t="s">
        <v>227</v>
      </c>
      <c r="C4" s="157" t="s">
        <v>40</v>
      </c>
      <c r="D4" s="162" t="s">
        <v>621</v>
      </c>
      <c r="E4" s="162"/>
      <c r="F4" s="162" t="s">
        <v>622</v>
      </c>
      <c r="G4" s="162" t="s">
        <v>623</v>
      </c>
      <c r="H4" s="162" t="s">
        <v>88</v>
      </c>
      <c r="I4" s="162" t="s">
        <v>88</v>
      </c>
      <c r="J4" s="162" t="s">
        <v>88</v>
      </c>
      <c r="K4" s="162" t="s">
        <v>88</v>
      </c>
      <c r="L4" s="162" t="s">
        <v>624</v>
      </c>
      <c r="M4" s="162" t="s">
        <v>625</v>
      </c>
      <c r="N4" s="163"/>
      <c r="O4" s="164"/>
      <c r="P4" s="164"/>
      <c r="Q4" s="165"/>
      <c r="R4" s="157"/>
      <c r="S4" s="159"/>
    </row>
    <row r="5" spans="1:19" ht="52.8">
      <c r="A5" s="113">
        <v>3</v>
      </c>
      <c r="B5" s="157" t="s">
        <v>626</v>
      </c>
      <c r="C5" s="157" t="s">
        <v>40</v>
      </c>
      <c r="D5" s="135" t="s">
        <v>627</v>
      </c>
      <c r="E5" s="110"/>
      <c r="F5" s="157" t="s">
        <v>628</v>
      </c>
      <c r="G5" s="157"/>
      <c r="H5" s="157" t="s">
        <v>88</v>
      </c>
      <c r="I5" s="157" t="s">
        <v>88</v>
      </c>
      <c r="J5" s="157" t="s">
        <v>88</v>
      </c>
      <c r="K5" s="157" t="s">
        <v>88</v>
      </c>
      <c r="L5" s="135" t="s">
        <v>629</v>
      </c>
      <c r="M5" s="135" t="s">
        <v>630</v>
      </c>
      <c r="N5" s="160"/>
      <c r="O5" s="160"/>
      <c r="P5" s="135"/>
      <c r="Q5" s="157"/>
      <c r="R5" s="157"/>
      <c r="S5" s="157"/>
    </row>
    <row r="6" spans="1:19" ht="13.2">
      <c r="A6" s="166"/>
      <c r="B6" s="166"/>
      <c r="C6" s="166"/>
      <c r="D6" s="166"/>
      <c r="E6" s="166"/>
      <c r="F6" s="166"/>
      <c r="G6" s="166"/>
      <c r="H6" s="166"/>
      <c r="I6" s="166"/>
      <c r="J6" s="166"/>
      <c r="K6" s="166"/>
      <c r="L6" s="166"/>
      <c r="M6" s="166"/>
      <c r="N6" s="166"/>
      <c r="O6" s="166"/>
      <c r="P6" s="166"/>
      <c r="Q6" s="166"/>
      <c r="R6" s="166"/>
      <c r="S6" s="166"/>
    </row>
    <row r="7" spans="1:19" ht="13.2">
      <c r="A7" s="166"/>
      <c r="B7" s="166"/>
      <c r="C7" s="166"/>
      <c r="D7" s="166"/>
      <c r="E7" s="166"/>
      <c r="F7" s="166"/>
      <c r="G7" s="166"/>
      <c r="H7" s="166"/>
      <c r="I7" s="166"/>
      <c r="J7" s="166"/>
      <c r="K7" s="166"/>
      <c r="L7" s="166"/>
      <c r="M7" s="166"/>
      <c r="N7" s="166"/>
      <c r="O7" s="166"/>
      <c r="P7" s="166"/>
      <c r="Q7" s="166"/>
      <c r="R7" s="166"/>
      <c r="S7" s="166"/>
    </row>
    <row r="8" spans="1:19" ht="13.2">
      <c r="A8" s="166"/>
      <c r="B8" s="166"/>
      <c r="C8" s="166"/>
      <c r="D8" s="166"/>
      <c r="E8" s="166"/>
      <c r="F8" s="166"/>
      <c r="G8" s="166"/>
      <c r="H8" s="166"/>
      <c r="I8" s="166"/>
      <c r="J8" s="166"/>
      <c r="K8" s="166"/>
      <c r="L8" s="166"/>
      <c r="M8" s="166"/>
      <c r="N8" s="166"/>
      <c r="O8" s="166"/>
      <c r="P8" s="166"/>
      <c r="Q8" s="166"/>
      <c r="R8" s="166"/>
      <c r="S8" s="166"/>
    </row>
    <row r="9" spans="1:19" ht="13.2">
      <c r="A9" s="166"/>
      <c r="B9" s="166"/>
      <c r="C9" s="166"/>
      <c r="D9" s="166"/>
      <c r="E9" s="166"/>
      <c r="F9" s="166"/>
      <c r="G9" s="166"/>
      <c r="H9" s="166"/>
      <c r="I9" s="166"/>
      <c r="J9" s="166"/>
      <c r="K9" s="166"/>
      <c r="L9" s="166"/>
      <c r="M9" s="166"/>
      <c r="N9" s="166"/>
      <c r="O9" s="166"/>
      <c r="P9" s="166"/>
      <c r="Q9" s="166"/>
      <c r="R9" s="166"/>
      <c r="S9" s="166"/>
    </row>
    <row r="10" spans="1:19" ht="13.2">
      <c r="A10" s="166"/>
      <c r="B10" s="166"/>
      <c r="C10" s="166"/>
      <c r="D10" s="166"/>
      <c r="E10" s="166"/>
      <c r="F10" s="166"/>
      <c r="G10" s="166"/>
      <c r="H10" s="166"/>
      <c r="I10" s="166"/>
      <c r="J10" s="166"/>
      <c r="K10" s="166"/>
      <c r="L10" s="166"/>
      <c r="M10" s="166"/>
      <c r="N10" s="166"/>
      <c r="O10" s="166"/>
      <c r="P10" s="166"/>
      <c r="Q10" s="166"/>
      <c r="R10" s="166"/>
      <c r="S10" s="166"/>
    </row>
    <row r="11" spans="1:19" ht="13.2">
      <c r="A11" s="166"/>
      <c r="B11" s="166"/>
      <c r="C11" s="166"/>
      <c r="D11" s="166"/>
      <c r="E11" s="166"/>
      <c r="F11" s="166"/>
      <c r="G11" s="166"/>
      <c r="H11" s="166"/>
      <c r="I11" s="166"/>
      <c r="J11" s="166"/>
      <c r="K11" s="166"/>
      <c r="L11" s="166"/>
      <c r="M11" s="166"/>
      <c r="N11" s="166"/>
      <c r="O11" s="166"/>
      <c r="P11" s="166"/>
      <c r="Q11" s="166"/>
      <c r="R11" s="166"/>
      <c r="S11" s="166"/>
    </row>
    <row r="12" spans="1:19" ht="13.2">
      <c r="A12" s="166"/>
      <c r="B12" s="166"/>
      <c r="C12" s="166"/>
      <c r="D12" s="166"/>
      <c r="E12" s="166"/>
      <c r="F12" s="166"/>
      <c r="G12" s="166"/>
      <c r="H12" s="166"/>
      <c r="I12" s="166"/>
      <c r="J12" s="166"/>
      <c r="K12" s="166"/>
      <c r="L12" s="166"/>
      <c r="M12" s="166"/>
      <c r="N12" s="166"/>
      <c r="O12" s="166"/>
      <c r="P12" s="166"/>
      <c r="Q12" s="166"/>
      <c r="R12" s="166"/>
      <c r="S12" s="166"/>
    </row>
  </sheetData>
  <dataValidations count="1">
    <dataValidation type="list" allowBlank="1" showErrorMessage="1" sqref="H3:K5" xr:uid="{00000000-0002-0000-0300-000000000000}">
      <formula1>"DA,NE"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22"/>
  <sheetViews>
    <sheetView workbookViewId="0">
      <pane ySplit="1" topLeftCell="A2" activePane="bottomLeft" state="frozen"/>
      <selection pane="bottomLeft" activeCell="B3" sqref="B3"/>
    </sheetView>
  </sheetViews>
  <sheetFormatPr defaultColWidth="12.6640625" defaultRowHeight="15.75" customHeight="1"/>
  <cols>
    <col min="1" max="1" width="5.109375" customWidth="1"/>
    <col min="2" max="2" width="22.109375" customWidth="1"/>
    <col min="3" max="3" width="28.77734375" customWidth="1"/>
    <col min="5" max="5" width="14.88671875" customWidth="1"/>
    <col min="6" max="6" width="20.109375" customWidth="1"/>
    <col min="7" max="7" width="37.6640625" customWidth="1"/>
    <col min="8" max="8" width="15" customWidth="1"/>
    <col min="9" max="10" width="15.109375" customWidth="1"/>
  </cols>
  <sheetData>
    <row r="1" spans="1:10" ht="46.5" customHeight="1">
      <c r="A1" s="167" t="s">
        <v>631</v>
      </c>
      <c r="B1" s="167" t="s">
        <v>632</v>
      </c>
      <c r="C1" s="168" t="s">
        <v>633</v>
      </c>
      <c r="D1" s="167" t="s">
        <v>2</v>
      </c>
      <c r="E1" s="167" t="s">
        <v>0</v>
      </c>
      <c r="F1" s="168" t="s">
        <v>634</v>
      </c>
      <c r="G1" s="168" t="s">
        <v>23</v>
      </c>
      <c r="H1" s="169" t="s">
        <v>635</v>
      </c>
      <c r="I1" s="170" t="s">
        <v>636</v>
      </c>
      <c r="J1" s="170" t="s">
        <v>637</v>
      </c>
    </row>
    <row r="2" spans="1:10" ht="22.5" customHeight="1">
      <c r="A2" s="109">
        <v>1</v>
      </c>
      <c r="B2" s="30" t="s">
        <v>638</v>
      </c>
      <c r="C2" s="171" t="s">
        <v>639</v>
      </c>
      <c r="D2" s="30" t="s">
        <v>371</v>
      </c>
      <c r="E2" s="30" t="s">
        <v>370</v>
      </c>
      <c r="F2" s="30" t="s">
        <v>640</v>
      </c>
      <c r="G2" s="172"/>
      <c r="H2" s="30" t="s">
        <v>59</v>
      </c>
      <c r="I2" s="30" t="s">
        <v>59</v>
      </c>
      <c r="J2" s="30" t="s">
        <v>59</v>
      </c>
    </row>
    <row r="3" spans="1:10" ht="22.5" customHeight="1">
      <c r="A3" s="173">
        <v>2</v>
      </c>
      <c r="B3" s="30" t="s">
        <v>641</v>
      </c>
      <c r="C3" s="174" t="s">
        <v>642</v>
      </c>
      <c r="D3" s="30" t="s">
        <v>40</v>
      </c>
      <c r="E3" s="30" t="s">
        <v>643</v>
      </c>
      <c r="F3" s="30" t="s">
        <v>640</v>
      </c>
      <c r="G3" s="172"/>
      <c r="H3" s="30" t="s">
        <v>59</v>
      </c>
      <c r="I3" s="30" t="s">
        <v>59</v>
      </c>
      <c r="J3" s="30" t="s">
        <v>59</v>
      </c>
    </row>
    <row r="4" spans="1:10" ht="22.5" customHeight="1">
      <c r="A4" s="173">
        <v>3</v>
      </c>
      <c r="B4" s="30" t="s">
        <v>644</v>
      </c>
      <c r="C4" s="171" t="s">
        <v>645</v>
      </c>
      <c r="D4" s="30" t="s">
        <v>646</v>
      </c>
      <c r="E4" s="30" t="s">
        <v>647</v>
      </c>
      <c r="F4" s="30" t="s">
        <v>640</v>
      </c>
      <c r="G4" s="172"/>
      <c r="H4" s="30" t="s">
        <v>59</v>
      </c>
      <c r="I4" s="30" t="s">
        <v>59</v>
      </c>
      <c r="J4" s="30" t="s">
        <v>59</v>
      </c>
    </row>
    <row r="5" spans="1:10" ht="22.5" customHeight="1">
      <c r="A5" s="173">
        <v>4</v>
      </c>
      <c r="B5" s="30" t="s">
        <v>648</v>
      </c>
      <c r="C5" s="171" t="s">
        <v>649</v>
      </c>
      <c r="D5" s="30" t="s">
        <v>470</v>
      </c>
      <c r="E5" s="30" t="s">
        <v>650</v>
      </c>
      <c r="F5" s="30" t="s">
        <v>640</v>
      </c>
      <c r="G5" s="172"/>
      <c r="H5" s="30" t="s">
        <v>59</v>
      </c>
      <c r="I5" s="30" t="s">
        <v>59</v>
      </c>
      <c r="J5" s="30" t="s">
        <v>59</v>
      </c>
    </row>
    <row r="6" spans="1:10" ht="22.5" customHeight="1">
      <c r="A6" s="173">
        <v>5</v>
      </c>
      <c r="B6" s="30" t="s">
        <v>584</v>
      </c>
      <c r="C6" s="175" t="s">
        <v>585</v>
      </c>
      <c r="D6" s="30" t="s">
        <v>40</v>
      </c>
      <c r="E6" s="30" t="s">
        <v>651</v>
      </c>
      <c r="F6" s="30" t="s">
        <v>640</v>
      </c>
      <c r="G6" s="172" t="s">
        <v>586</v>
      </c>
      <c r="H6" s="30" t="s">
        <v>59</v>
      </c>
      <c r="I6" s="30" t="s">
        <v>59</v>
      </c>
      <c r="J6" s="30" t="s">
        <v>59</v>
      </c>
    </row>
    <row r="7" spans="1:10" ht="22.5" customHeight="1">
      <c r="A7" s="173">
        <v>6</v>
      </c>
      <c r="B7" s="30" t="s">
        <v>652</v>
      </c>
      <c r="C7" s="171" t="s">
        <v>653</v>
      </c>
      <c r="D7" s="30" t="s">
        <v>470</v>
      </c>
      <c r="E7" s="30" t="s">
        <v>654</v>
      </c>
      <c r="F7" s="30" t="s">
        <v>640</v>
      </c>
      <c r="G7" s="172"/>
      <c r="H7" s="30" t="s">
        <v>59</v>
      </c>
      <c r="I7" s="30" t="s">
        <v>59</v>
      </c>
      <c r="J7" s="30" t="s">
        <v>59</v>
      </c>
    </row>
    <row r="8" spans="1:10" ht="22.5" customHeight="1">
      <c r="A8" s="173">
        <v>7</v>
      </c>
      <c r="B8" s="30" t="s">
        <v>655</v>
      </c>
      <c r="C8" s="171" t="s">
        <v>656</v>
      </c>
      <c r="D8" s="30" t="s">
        <v>657</v>
      </c>
      <c r="E8" s="30" t="s">
        <v>658</v>
      </c>
      <c r="F8" s="30" t="s">
        <v>640</v>
      </c>
      <c r="G8" s="172"/>
      <c r="H8" s="30" t="s">
        <v>59</v>
      </c>
      <c r="I8" s="30" t="s">
        <v>59</v>
      </c>
      <c r="J8" s="30" t="s">
        <v>59</v>
      </c>
    </row>
    <row r="9" spans="1:10" ht="22.5" customHeight="1">
      <c r="A9" s="173">
        <v>8</v>
      </c>
      <c r="B9" s="30" t="s">
        <v>659</v>
      </c>
      <c r="C9" s="171" t="s">
        <v>660</v>
      </c>
      <c r="D9" s="30" t="s">
        <v>415</v>
      </c>
      <c r="E9" s="30" t="s">
        <v>661</v>
      </c>
      <c r="F9" s="30" t="s">
        <v>640</v>
      </c>
      <c r="G9" s="172"/>
      <c r="H9" s="30" t="s">
        <v>59</v>
      </c>
      <c r="I9" s="30" t="s">
        <v>59</v>
      </c>
      <c r="J9" s="30" t="s">
        <v>59</v>
      </c>
    </row>
    <row r="10" spans="1:10" ht="22.5" customHeight="1">
      <c r="A10" s="173">
        <v>9</v>
      </c>
      <c r="B10" s="30" t="s">
        <v>662</v>
      </c>
      <c r="C10" s="174" t="s">
        <v>663</v>
      </c>
      <c r="D10" s="30" t="s">
        <v>40</v>
      </c>
      <c r="E10" s="30" t="s">
        <v>664</v>
      </c>
      <c r="F10" s="30" t="s">
        <v>640</v>
      </c>
      <c r="G10" s="172"/>
      <c r="H10" s="30" t="s">
        <v>59</v>
      </c>
      <c r="I10" s="30" t="s">
        <v>59</v>
      </c>
      <c r="J10" s="30" t="s">
        <v>59</v>
      </c>
    </row>
    <row r="11" spans="1:10" ht="22.5" customHeight="1">
      <c r="A11" s="173">
        <v>10</v>
      </c>
      <c r="B11" s="30" t="s">
        <v>594</v>
      </c>
      <c r="C11" s="175" t="s">
        <v>595</v>
      </c>
      <c r="D11" s="30" t="s">
        <v>470</v>
      </c>
      <c r="E11" s="30" t="s">
        <v>593</v>
      </c>
      <c r="F11" s="30" t="s">
        <v>665</v>
      </c>
      <c r="G11" s="172"/>
      <c r="H11" s="30" t="s">
        <v>59</v>
      </c>
      <c r="I11" s="30" t="s">
        <v>59</v>
      </c>
      <c r="J11" s="30" t="s">
        <v>59</v>
      </c>
    </row>
    <row r="12" spans="1:10" ht="22.5" customHeight="1">
      <c r="A12" s="173">
        <v>11</v>
      </c>
      <c r="B12" s="30" t="s">
        <v>602</v>
      </c>
      <c r="C12" s="175" t="s">
        <v>603</v>
      </c>
      <c r="D12" s="30" t="s">
        <v>390</v>
      </c>
      <c r="E12" s="30" t="s">
        <v>600</v>
      </c>
      <c r="F12" s="30" t="s">
        <v>665</v>
      </c>
      <c r="G12" s="172"/>
      <c r="H12" s="30" t="s">
        <v>59</v>
      </c>
      <c r="I12" s="30" t="s">
        <v>59</v>
      </c>
      <c r="J12" s="30" t="s">
        <v>59</v>
      </c>
    </row>
    <row r="13" spans="1:10" ht="22.5" customHeight="1">
      <c r="A13" s="30">
        <v>12</v>
      </c>
      <c r="B13" s="30" t="s">
        <v>666</v>
      </c>
      <c r="C13" s="171" t="s">
        <v>667</v>
      </c>
      <c r="D13" s="30" t="s">
        <v>40</v>
      </c>
      <c r="E13" s="30" t="s">
        <v>668</v>
      </c>
      <c r="F13" s="30" t="s">
        <v>665</v>
      </c>
      <c r="G13" s="172" t="s">
        <v>669</v>
      </c>
      <c r="H13" s="30" t="s">
        <v>59</v>
      </c>
      <c r="I13" s="30" t="s">
        <v>59</v>
      </c>
      <c r="J13" s="30" t="s">
        <v>59</v>
      </c>
    </row>
    <row r="14" spans="1:10" ht="22.5" customHeight="1">
      <c r="A14" s="30">
        <v>13</v>
      </c>
      <c r="B14" s="30" t="s">
        <v>670</v>
      </c>
      <c r="C14" s="171" t="s">
        <v>671</v>
      </c>
      <c r="D14" s="30" t="s">
        <v>40</v>
      </c>
      <c r="E14" s="30" t="s">
        <v>672</v>
      </c>
      <c r="F14" s="30" t="s">
        <v>665</v>
      </c>
      <c r="G14" s="172" t="s">
        <v>673</v>
      </c>
      <c r="H14" s="30" t="s">
        <v>59</v>
      </c>
      <c r="I14" s="30" t="s">
        <v>59</v>
      </c>
      <c r="J14" s="30" t="s">
        <v>59</v>
      </c>
    </row>
    <row r="15" spans="1:10" ht="22.5" customHeight="1">
      <c r="A15" s="30">
        <v>14</v>
      </c>
      <c r="B15" s="30" t="s">
        <v>674</v>
      </c>
      <c r="C15" s="171" t="s">
        <v>675</v>
      </c>
      <c r="D15" s="30" t="s">
        <v>390</v>
      </c>
      <c r="E15" s="30" t="s">
        <v>676</v>
      </c>
      <c r="F15" s="30" t="s">
        <v>665</v>
      </c>
      <c r="G15" s="172" t="s">
        <v>673</v>
      </c>
      <c r="H15" s="30" t="s">
        <v>59</v>
      </c>
      <c r="I15" s="30" t="s">
        <v>59</v>
      </c>
      <c r="J15" s="30" t="s">
        <v>59</v>
      </c>
    </row>
    <row r="16" spans="1:10" ht="22.5" customHeight="1">
      <c r="A16" s="30">
        <v>15</v>
      </c>
      <c r="B16" s="30" t="s">
        <v>677</v>
      </c>
      <c r="C16" s="171" t="s">
        <v>678</v>
      </c>
      <c r="D16" s="30" t="s">
        <v>40</v>
      </c>
      <c r="E16" s="30" t="s">
        <v>679</v>
      </c>
      <c r="F16" s="30" t="s">
        <v>665</v>
      </c>
      <c r="G16" s="172"/>
      <c r="H16" s="30" t="s">
        <v>59</v>
      </c>
      <c r="I16" s="30" t="s">
        <v>59</v>
      </c>
      <c r="J16" s="30" t="s">
        <v>59</v>
      </c>
    </row>
    <row r="17" spans="1:10" ht="22.5" customHeight="1">
      <c r="A17" s="30">
        <v>16</v>
      </c>
      <c r="B17" s="30" t="s">
        <v>680</v>
      </c>
      <c r="C17" s="171" t="s">
        <v>681</v>
      </c>
      <c r="D17" s="30" t="s">
        <v>682</v>
      </c>
      <c r="E17" s="30" t="s">
        <v>683</v>
      </c>
      <c r="F17" s="30" t="s">
        <v>665</v>
      </c>
      <c r="G17" s="172" t="s">
        <v>669</v>
      </c>
      <c r="H17" s="30" t="s">
        <v>59</v>
      </c>
      <c r="I17" s="30" t="s">
        <v>59</v>
      </c>
      <c r="J17" s="30" t="s">
        <v>59</v>
      </c>
    </row>
    <row r="18" spans="1:10" ht="22.5" customHeight="1">
      <c r="A18" s="176">
        <v>17</v>
      </c>
      <c r="B18" s="112" t="s">
        <v>666</v>
      </c>
      <c r="C18" s="177" t="s">
        <v>667</v>
      </c>
      <c r="D18" s="96" t="s">
        <v>40</v>
      </c>
      <c r="E18" s="109" t="s">
        <v>668</v>
      </c>
      <c r="F18" s="176" t="s">
        <v>665</v>
      </c>
      <c r="G18" s="172" t="s">
        <v>669</v>
      </c>
      <c r="H18" s="30" t="s">
        <v>59</v>
      </c>
      <c r="I18" s="30" t="s">
        <v>59</v>
      </c>
      <c r="J18" s="30" t="s">
        <v>59</v>
      </c>
    </row>
    <row r="19" spans="1:10" ht="22.5" customHeight="1">
      <c r="A19" s="30">
        <v>18</v>
      </c>
      <c r="B19" s="109" t="s">
        <v>684</v>
      </c>
      <c r="C19" s="177" t="s">
        <v>685</v>
      </c>
      <c r="D19" s="109" t="s">
        <v>40</v>
      </c>
      <c r="E19" s="109" t="s">
        <v>686</v>
      </c>
      <c r="F19" s="30" t="s">
        <v>665</v>
      </c>
      <c r="G19" s="172" t="s">
        <v>687</v>
      </c>
      <c r="H19" s="30" t="s">
        <v>59</v>
      </c>
      <c r="I19" s="30" t="s">
        <v>59</v>
      </c>
      <c r="J19" s="30" t="s">
        <v>59</v>
      </c>
    </row>
    <row r="20" spans="1:10" ht="22.5" customHeight="1">
      <c r="A20" s="30">
        <v>19</v>
      </c>
      <c r="B20" s="109" t="s">
        <v>688</v>
      </c>
      <c r="C20" s="177" t="s">
        <v>689</v>
      </c>
      <c r="D20" s="109" t="s">
        <v>690</v>
      </c>
      <c r="E20" s="109" t="s">
        <v>691</v>
      </c>
      <c r="F20" s="30" t="s">
        <v>665</v>
      </c>
      <c r="G20" s="172" t="s">
        <v>692</v>
      </c>
      <c r="H20" s="30" t="s">
        <v>59</v>
      </c>
      <c r="I20" s="30" t="s">
        <v>59</v>
      </c>
      <c r="J20" s="30" t="s">
        <v>59</v>
      </c>
    </row>
    <row r="21" spans="1:10" ht="22.5" customHeight="1">
      <c r="A21" s="176">
        <v>20</v>
      </c>
      <c r="B21" s="109" t="s">
        <v>693</v>
      </c>
      <c r="C21" s="177" t="s">
        <v>694</v>
      </c>
      <c r="D21" s="107" t="s">
        <v>695</v>
      </c>
      <c r="E21" s="107" t="s">
        <v>696</v>
      </c>
      <c r="F21" s="30" t="s">
        <v>665</v>
      </c>
      <c r="G21" s="172" t="s">
        <v>697</v>
      </c>
      <c r="H21" s="30" t="s">
        <v>59</v>
      </c>
      <c r="I21" s="30" t="s">
        <v>59</v>
      </c>
      <c r="J21" s="30" t="s">
        <v>59</v>
      </c>
    </row>
    <row r="22" spans="1:10" ht="22.5" customHeight="1">
      <c r="A22" s="30">
        <v>21</v>
      </c>
      <c r="B22" s="109" t="s">
        <v>698</v>
      </c>
      <c r="C22" s="178" t="s">
        <v>699</v>
      </c>
      <c r="D22" s="107" t="s">
        <v>433</v>
      </c>
      <c r="E22" s="107" t="s">
        <v>700</v>
      </c>
      <c r="F22" s="30" t="s">
        <v>665</v>
      </c>
      <c r="G22" s="172"/>
      <c r="H22" s="30"/>
      <c r="I22" s="30"/>
      <c r="J22" s="30"/>
    </row>
  </sheetData>
  <dataValidations count="2">
    <dataValidation type="list" allowBlank="1" showErrorMessage="1" sqref="F2:F22" xr:uid="{00000000-0002-0000-0400-000000000000}">
      <formula1>"Na obuci ,Završila obuku"</formula1>
    </dataValidation>
    <dataValidation type="list" allowBlank="1" showErrorMessage="1" sqref="H2:J22" xr:uid="{00000000-0002-0000-0400-000001000000}">
      <formula1>"DA,NE,NIJE POSLAT UPITNIK"</formula1>
    </dataValidation>
  </dataValidations>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 ref="C19" r:id="rId18" xr:uid="{00000000-0004-0000-0400-000011000000}"/>
    <hyperlink ref="C20" r:id="rId19" xr:uid="{00000000-0004-0000-0400-000012000000}"/>
    <hyperlink ref="C21" r:id="rId20" xr:uid="{00000000-0004-0000-0400-000013000000}"/>
    <hyperlink ref="C22" r:id="rId21" xr:uid="{00000000-0004-0000-0400-000014000000}"/>
  </hyperlinks>
  <pageMargins left="0.7" right="0.7" top="0.75" bottom="0.75" header="0.3" footer="0.3"/>
  <tableParts count="1">
    <tablePart r:id="rId2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39"/>
  <sheetViews>
    <sheetView workbookViewId="0">
      <pane ySplit="1" topLeftCell="A2" activePane="bottomLeft" state="frozen"/>
      <selection pane="bottomLeft" activeCell="B3" sqref="B3"/>
    </sheetView>
  </sheetViews>
  <sheetFormatPr defaultColWidth="12.6640625" defaultRowHeight="15.75" customHeight="1"/>
  <cols>
    <col min="1" max="1" width="5.6640625" customWidth="1"/>
    <col min="2" max="2" width="20" customWidth="1"/>
    <col min="3" max="3" width="26.77734375" customWidth="1"/>
    <col min="4" max="4" width="17.77734375" customWidth="1"/>
    <col min="5" max="5" width="21" customWidth="1"/>
    <col min="6" max="6" width="17.77734375" customWidth="1"/>
    <col min="7" max="7" width="50.21875" customWidth="1"/>
  </cols>
  <sheetData>
    <row r="1" spans="1:10">
      <c r="A1" s="179" t="s">
        <v>631</v>
      </c>
      <c r="B1" s="179" t="s">
        <v>632</v>
      </c>
      <c r="C1" s="180" t="s">
        <v>633</v>
      </c>
      <c r="D1" s="179" t="s">
        <v>2</v>
      </c>
      <c r="E1" s="179" t="s">
        <v>0</v>
      </c>
      <c r="F1" s="180" t="s">
        <v>701</v>
      </c>
      <c r="G1" s="181" t="s">
        <v>23</v>
      </c>
      <c r="H1" s="182" t="s">
        <v>635</v>
      </c>
      <c r="I1" s="183" t="s">
        <v>702</v>
      </c>
      <c r="J1" s="183" t="s">
        <v>703</v>
      </c>
    </row>
    <row r="2" spans="1:10">
      <c r="A2" s="184">
        <v>1</v>
      </c>
      <c r="B2" s="109" t="s">
        <v>325</v>
      </c>
      <c r="C2" s="96" t="s">
        <v>704</v>
      </c>
      <c r="D2" s="96" t="s">
        <v>40</v>
      </c>
      <c r="E2" s="109" t="s">
        <v>324</v>
      </c>
      <c r="F2" s="96" t="s">
        <v>705</v>
      </c>
      <c r="G2" s="107" t="s">
        <v>706</v>
      </c>
      <c r="H2" s="185" t="s">
        <v>88</v>
      </c>
      <c r="I2" s="185" t="s">
        <v>88</v>
      </c>
      <c r="J2" s="186" t="s">
        <v>59</v>
      </c>
    </row>
    <row r="3" spans="1:10">
      <c r="A3" s="187">
        <v>2</v>
      </c>
      <c r="B3" s="109" t="s">
        <v>359</v>
      </c>
      <c r="C3" s="109" t="s">
        <v>360</v>
      </c>
      <c r="D3" s="96" t="s">
        <v>40</v>
      </c>
      <c r="E3" s="109" t="s">
        <v>358</v>
      </c>
      <c r="F3" s="96" t="s">
        <v>705</v>
      </c>
      <c r="G3" s="115"/>
      <c r="H3" s="108" t="s">
        <v>88</v>
      </c>
      <c r="I3" s="108" t="s">
        <v>88</v>
      </c>
      <c r="J3" s="186" t="s">
        <v>88</v>
      </c>
    </row>
    <row r="4" spans="1:10">
      <c r="A4" s="187">
        <v>3</v>
      </c>
      <c r="B4" s="112" t="s">
        <v>666</v>
      </c>
      <c r="C4" s="109" t="s">
        <v>667</v>
      </c>
      <c r="D4" s="96" t="s">
        <v>40</v>
      </c>
      <c r="E4" s="109" t="s">
        <v>668</v>
      </c>
      <c r="F4" s="96" t="s">
        <v>705</v>
      </c>
      <c r="G4" s="115"/>
      <c r="H4" s="108" t="s">
        <v>59</v>
      </c>
      <c r="I4" s="108" t="s">
        <v>59</v>
      </c>
      <c r="J4" s="186" t="s">
        <v>59</v>
      </c>
    </row>
    <row r="5" spans="1:10">
      <c r="A5" s="184">
        <v>4</v>
      </c>
      <c r="B5" s="109" t="s">
        <v>670</v>
      </c>
      <c r="C5" s="109" t="s">
        <v>671</v>
      </c>
      <c r="D5" s="96" t="s">
        <v>40</v>
      </c>
      <c r="E5" s="96" t="s">
        <v>672</v>
      </c>
      <c r="F5" s="96" t="s">
        <v>705</v>
      </c>
      <c r="G5" s="115"/>
      <c r="H5" s="108" t="s">
        <v>88</v>
      </c>
      <c r="I5" s="108" t="s">
        <v>88</v>
      </c>
      <c r="J5" s="186" t="s">
        <v>59</v>
      </c>
    </row>
    <row r="6" spans="1:10">
      <c r="A6" s="187">
        <v>5</v>
      </c>
      <c r="B6" s="109" t="s">
        <v>707</v>
      </c>
      <c r="C6" s="109" t="s">
        <v>708</v>
      </c>
      <c r="D6" s="96" t="s">
        <v>40</v>
      </c>
      <c r="E6" s="109" t="s">
        <v>332</v>
      </c>
      <c r="F6" s="96" t="s">
        <v>705</v>
      </c>
      <c r="G6" s="84" t="s">
        <v>709</v>
      </c>
      <c r="H6" s="108" t="s">
        <v>88</v>
      </c>
      <c r="I6" s="108" t="s">
        <v>88</v>
      </c>
      <c r="J6" s="186" t="s">
        <v>59</v>
      </c>
    </row>
    <row r="7" spans="1:10">
      <c r="A7" s="187">
        <v>6</v>
      </c>
      <c r="B7" s="112" t="s">
        <v>710</v>
      </c>
      <c r="C7" s="109" t="s">
        <v>711</v>
      </c>
      <c r="D7" s="96" t="s">
        <v>40</v>
      </c>
      <c r="E7" s="109" t="s">
        <v>350</v>
      </c>
      <c r="F7" s="96" t="s">
        <v>705</v>
      </c>
      <c r="G7" s="107" t="s">
        <v>712</v>
      </c>
      <c r="H7" s="108" t="s">
        <v>88</v>
      </c>
      <c r="I7" s="108" t="s">
        <v>88</v>
      </c>
      <c r="J7" s="186" t="s">
        <v>88</v>
      </c>
    </row>
    <row r="8" spans="1:10">
      <c r="A8" s="184">
        <v>7</v>
      </c>
      <c r="B8" s="109" t="s">
        <v>677</v>
      </c>
      <c r="C8" s="109" t="s">
        <v>678</v>
      </c>
      <c r="D8" s="96" t="s">
        <v>40</v>
      </c>
      <c r="E8" s="109" t="s">
        <v>679</v>
      </c>
      <c r="F8" s="96" t="s">
        <v>705</v>
      </c>
      <c r="G8" s="115"/>
      <c r="H8" s="108" t="s">
        <v>59</v>
      </c>
      <c r="I8" s="108" t="s">
        <v>59</v>
      </c>
      <c r="J8" s="186" t="s">
        <v>59</v>
      </c>
    </row>
    <row r="9" spans="1:10">
      <c r="A9" s="187">
        <v>8</v>
      </c>
      <c r="B9" s="188" t="s">
        <v>713</v>
      </c>
      <c r="C9" s="109" t="s">
        <v>714</v>
      </c>
      <c r="D9" s="96" t="s">
        <v>40</v>
      </c>
      <c r="E9" s="109" t="s">
        <v>332</v>
      </c>
      <c r="F9" s="96" t="s">
        <v>705</v>
      </c>
      <c r="G9" s="84" t="s">
        <v>709</v>
      </c>
      <c r="H9" s="108" t="s">
        <v>88</v>
      </c>
      <c r="I9" s="108" t="s">
        <v>88</v>
      </c>
      <c r="J9" s="186" t="s">
        <v>59</v>
      </c>
    </row>
    <row r="10" spans="1:10">
      <c r="A10" s="187">
        <v>9</v>
      </c>
      <c r="B10" s="109" t="s">
        <v>684</v>
      </c>
      <c r="C10" s="109" t="s">
        <v>685</v>
      </c>
      <c r="D10" s="96" t="s">
        <v>40</v>
      </c>
      <c r="E10" s="109" t="s">
        <v>686</v>
      </c>
      <c r="F10" s="96" t="s">
        <v>705</v>
      </c>
      <c r="G10" s="115"/>
      <c r="H10" s="108" t="s">
        <v>88</v>
      </c>
      <c r="I10" s="108" t="s">
        <v>59</v>
      </c>
      <c r="J10" s="186" t="s">
        <v>59</v>
      </c>
    </row>
    <row r="11" spans="1:10">
      <c r="A11" s="184">
        <v>10</v>
      </c>
      <c r="B11" s="112" t="s">
        <v>655</v>
      </c>
      <c r="C11" s="109" t="s">
        <v>656</v>
      </c>
      <c r="D11" s="96" t="s">
        <v>40</v>
      </c>
      <c r="E11" s="109" t="s">
        <v>658</v>
      </c>
      <c r="F11" s="96" t="s">
        <v>705</v>
      </c>
      <c r="G11" s="107" t="s">
        <v>715</v>
      </c>
      <c r="H11" s="108" t="s">
        <v>59</v>
      </c>
      <c r="I11" s="108" t="s">
        <v>59</v>
      </c>
      <c r="J11" s="186" t="s">
        <v>59</v>
      </c>
    </row>
    <row r="12" spans="1:10">
      <c r="A12" s="187">
        <v>11</v>
      </c>
      <c r="B12" s="112" t="s">
        <v>716</v>
      </c>
      <c r="C12" s="112" t="s">
        <v>717</v>
      </c>
      <c r="D12" s="109" t="s">
        <v>718</v>
      </c>
      <c r="E12" s="112" t="s">
        <v>719</v>
      </c>
      <c r="F12" s="96" t="s">
        <v>705</v>
      </c>
      <c r="G12" s="107" t="s">
        <v>720</v>
      </c>
      <c r="H12" s="108" t="s">
        <v>721</v>
      </c>
      <c r="I12" s="108"/>
      <c r="J12" s="186"/>
    </row>
    <row r="13" spans="1:10">
      <c r="A13" s="187">
        <v>12</v>
      </c>
      <c r="B13" s="189" t="s">
        <v>510</v>
      </c>
      <c r="C13" s="109" t="s">
        <v>722</v>
      </c>
      <c r="D13" s="109" t="s">
        <v>718</v>
      </c>
      <c r="E13" s="99" t="s">
        <v>723</v>
      </c>
      <c r="F13" s="96" t="s">
        <v>705</v>
      </c>
      <c r="G13" s="115"/>
      <c r="H13" s="108" t="s">
        <v>88</v>
      </c>
      <c r="I13" s="108" t="s">
        <v>88</v>
      </c>
      <c r="J13" s="186" t="s">
        <v>59</v>
      </c>
    </row>
    <row r="14" spans="1:10">
      <c r="A14" s="184">
        <v>13</v>
      </c>
      <c r="B14" s="107" t="s">
        <v>724</v>
      </c>
      <c r="C14" s="109" t="s">
        <v>725</v>
      </c>
      <c r="D14" s="107" t="s">
        <v>390</v>
      </c>
      <c r="E14" s="109" t="s">
        <v>726</v>
      </c>
      <c r="F14" s="96" t="s">
        <v>705</v>
      </c>
      <c r="G14" s="115"/>
      <c r="H14" s="108" t="s">
        <v>88</v>
      </c>
      <c r="I14" s="108" t="s">
        <v>88</v>
      </c>
      <c r="J14" s="186" t="s">
        <v>59</v>
      </c>
    </row>
    <row r="15" spans="1:10">
      <c r="A15" s="187">
        <v>14</v>
      </c>
      <c r="B15" s="107" t="s">
        <v>727</v>
      </c>
      <c r="C15" s="109" t="s">
        <v>728</v>
      </c>
      <c r="D15" s="107" t="s">
        <v>390</v>
      </c>
      <c r="E15" s="109" t="s">
        <v>726</v>
      </c>
      <c r="F15" s="96" t="s">
        <v>705</v>
      </c>
      <c r="G15" s="115"/>
      <c r="H15" s="108" t="s">
        <v>88</v>
      </c>
      <c r="I15" s="108" t="s">
        <v>88</v>
      </c>
      <c r="J15" s="186" t="s">
        <v>59</v>
      </c>
    </row>
    <row r="16" spans="1:10">
      <c r="A16" s="187">
        <v>15</v>
      </c>
      <c r="B16" s="107" t="s">
        <v>429</v>
      </c>
      <c r="C16" s="109" t="s">
        <v>729</v>
      </c>
      <c r="D16" s="107" t="s">
        <v>390</v>
      </c>
      <c r="E16" s="109" t="s">
        <v>428</v>
      </c>
      <c r="F16" s="96" t="s">
        <v>705</v>
      </c>
      <c r="G16" s="115"/>
      <c r="H16" s="108" t="s">
        <v>88</v>
      </c>
      <c r="I16" s="108" t="s">
        <v>88</v>
      </c>
      <c r="J16" s="186" t="s">
        <v>59</v>
      </c>
    </row>
    <row r="17" spans="1:11">
      <c r="A17" s="184">
        <v>16</v>
      </c>
      <c r="B17" s="107" t="s">
        <v>416</v>
      </c>
      <c r="C17" s="109" t="s">
        <v>730</v>
      </c>
      <c r="D17" s="107" t="s">
        <v>390</v>
      </c>
      <c r="E17" s="109" t="s">
        <v>414</v>
      </c>
      <c r="F17" s="96" t="s">
        <v>705</v>
      </c>
      <c r="G17" s="115"/>
      <c r="H17" s="108" t="s">
        <v>88</v>
      </c>
      <c r="I17" s="108" t="s">
        <v>88</v>
      </c>
      <c r="J17" s="186" t="s">
        <v>59</v>
      </c>
    </row>
    <row r="18" spans="1:11">
      <c r="A18" s="187">
        <v>17</v>
      </c>
      <c r="B18" s="109" t="s">
        <v>425</v>
      </c>
      <c r="C18" s="109" t="s">
        <v>731</v>
      </c>
      <c r="D18" s="107" t="s">
        <v>390</v>
      </c>
      <c r="E18" s="109" t="s">
        <v>424</v>
      </c>
      <c r="F18" s="96" t="s">
        <v>705</v>
      </c>
      <c r="G18" s="107" t="s">
        <v>732</v>
      </c>
      <c r="H18" s="108" t="s">
        <v>88</v>
      </c>
      <c r="I18" s="190" t="s">
        <v>88</v>
      </c>
      <c r="J18" s="191" t="s">
        <v>88</v>
      </c>
      <c r="K18" s="192"/>
    </row>
    <row r="19" spans="1:11">
      <c r="A19" s="187">
        <v>18</v>
      </c>
      <c r="B19" s="109" t="s">
        <v>733</v>
      </c>
      <c r="C19" s="112" t="s">
        <v>734</v>
      </c>
      <c r="D19" s="107" t="s">
        <v>390</v>
      </c>
      <c r="E19" s="109" t="s">
        <v>424</v>
      </c>
      <c r="F19" s="96" t="s">
        <v>705</v>
      </c>
      <c r="G19" s="107" t="s">
        <v>735</v>
      </c>
      <c r="H19" s="108" t="s">
        <v>88</v>
      </c>
      <c r="I19" s="108" t="s">
        <v>88</v>
      </c>
      <c r="J19" s="185" t="s">
        <v>59</v>
      </c>
    </row>
    <row r="20" spans="1:11">
      <c r="A20" s="184">
        <v>19</v>
      </c>
      <c r="B20" s="109" t="s">
        <v>736</v>
      </c>
      <c r="C20" s="109" t="s">
        <v>737</v>
      </c>
      <c r="D20" s="107" t="s">
        <v>390</v>
      </c>
      <c r="E20" s="109" t="s">
        <v>738</v>
      </c>
      <c r="F20" s="96" t="s">
        <v>705</v>
      </c>
      <c r="G20" s="115"/>
      <c r="H20" s="108" t="s">
        <v>88</v>
      </c>
      <c r="I20" s="108" t="s">
        <v>88</v>
      </c>
      <c r="J20" s="185" t="s">
        <v>59</v>
      </c>
    </row>
    <row r="21" spans="1:11">
      <c r="A21" s="187">
        <v>20</v>
      </c>
      <c r="B21" s="109" t="s">
        <v>674</v>
      </c>
      <c r="C21" s="109" t="s">
        <v>675</v>
      </c>
      <c r="D21" s="107" t="s">
        <v>390</v>
      </c>
      <c r="E21" s="109" t="s">
        <v>676</v>
      </c>
      <c r="F21" s="96" t="s">
        <v>705</v>
      </c>
      <c r="G21" s="115"/>
      <c r="H21" s="108" t="s">
        <v>88</v>
      </c>
      <c r="I21" s="108" t="s">
        <v>88</v>
      </c>
      <c r="J21" s="185" t="s">
        <v>59</v>
      </c>
    </row>
    <row r="22" spans="1:11">
      <c r="A22" s="187">
        <v>21</v>
      </c>
      <c r="B22" s="109" t="s">
        <v>739</v>
      </c>
      <c r="C22" s="109" t="s">
        <v>740</v>
      </c>
      <c r="D22" s="107" t="s">
        <v>741</v>
      </c>
      <c r="E22" s="107" t="s">
        <v>742</v>
      </c>
      <c r="F22" s="96" t="s">
        <v>705</v>
      </c>
      <c r="G22" s="115"/>
      <c r="H22" s="108" t="s">
        <v>59</v>
      </c>
      <c r="I22" s="108"/>
      <c r="J22" s="185" t="s">
        <v>59</v>
      </c>
    </row>
    <row r="23" spans="1:11">
      <c r="A23" s="184">
        <v>22</v>
      </c>
      <c r="B23" s="193" t="s">
        <v>743</v>
      </c>
      <c r="C23" s="109" t="s">
        <v>744</v>
      </c>
      <c r="D23" s="107" t="s">
        <v>741</v>
      </c>
      <c r="E23" s="109" t="s">
        <v>745</v>
      </c>
      <c r="F23" s="96" t="s">
        <v>705</v>
      </c>
      <c r="G23" s="194" t="s">
        <v>746</v>
      </c>
      <c r="H23" s="108" t="s">
        <v>59</v>
      </c>
      <c r="I23" s="108"/>
      <c r="J23" s="185" t="s">
        <v>59</v>
      </c>
    </row>
    <row r="24" spans="1:11">
      <c r="A24" s="187">
        <v>23</v>
      </c>
      <c r="B24" s="109" t="s">
        <v>688</v>
      </c>
      <c r="C24" s="109" t="s">
        <v>689</v>
      </c>
      <c r="D24" s="107" t="s">
        <v>690</v>
      </c>
      <c r="E24" s="107" t="s">
        <v>691</v>
      </c>
      <c r="F24" s="96" t="s">
        <v>705</v>
      </c>
      <c r="G24" s="115"/>
      <c r="H24" s="108" t="s">
        <v>59</v>
      </c>
      <c r="I24" s="108" t="s">
        <v>88</v>
      </c>
      <c r="J24" s="185" t="s">
        <v>59</v>
      </c>
    </row>
    <row r="25" spans="1:11">
      <c r="A25" s="187">
        <v>24</v>
      </c>
      <c r="B25" s="109" t="s">
        <v>693</v>
      </c>
      <c r="C25" s="109" t="s">
        <v>694</v>
      </c>
      <c r="D25" s="107" t="s">
        <v>695</v>
      </c>
      <c r="E25" s="107" t="s">
        <v>696</v>
      </c>
      <c r="F25" s="96" t="s">
        <v>705</v>
      </c>
      <c r="G25" s="115"/>
      <c r="H25" s="108" t="s">
        <v>88</v>
      </c>
      <c r="I25" s="108" t="s">
        <v>88</v>
      </c>
      <c r="J25" s="185" t="s">
        <v>59</v>
      </c>
    </row>
    <row r="26" spans="1:11">
      <c r="A26" s="184">
        <v>25</v>
      </c>
      <c r="B26" s="109" t="s">
        <v>747</v>
      </c>
      <c r="C26" s="109" t="s">
        <v>748</v>
      </c>
      <c r="D26" s="107" t="s">
        <v>749</v>
      </c>
      <c r="E26" s="107" t="s">
        <v>750</v>
      </c>
      <c r="F26" s="96" t="s">
        <v>705</v>
      </c>
      <c r="G26" s="115"/>
      <c r="H26" s="108" t="s">
        <v>88</v>
      </c>
      <c r="I26" s="108" t="s">
        <v>59</v>
      </c>
      <c r="J26" s="185" t="s">
        <v>59</v>
      </c>
    </row>
    <row r="27" spans="1:11">
      <c r="A27" s="187">
        <v>26</v>
      </c>
      <c r="B27" s="188" t="s">
        <v>680</v>
      </c>
      <c r="C27" s="109" t="s">
        <v>681</v>
      </c>
      <c r="D27" s="107" t="s">
        <v>682</v>
      </c>
      <c r="E27" s="107" t="s">
        <v>683</v>
      </c>
      <c r="F27" s="96" t="s">
        <v>705</v>
      </c>
      <c r="G27" s="115"/>
      <c r="H27" s="108" t="s">
        <v>59</v>
      </c>
      <c r="I27" s="108"/>
      <c r="J27" s="185" t="s">
        <v>59</v>
      </c>
    </row>
    <row r="28" spans="1:11">
      <c r="A28" s="187">
        <v>27</v>
      </c>
      <c r="B28" s="107" t="s">
        <v>751</v>
      </c>
      <c r="C28" s="112" t="s">
        <v>752</v>
      </c>
      <c r="D28" s="107" t="s">
        <v>40</v>
      </c>
      <c r="E28" s="114" t="s">
        <v>753</v>
      </c>
      <c r="F28" s="107" t="s">
        <v>665</v>
      </c>
      <c r="G28" s="107" t="s">
        <v>754</v>
      </c>
      <c r="H28" s="108" t="s">
        <v>88</v>
      </c>
      <c r="I28" s="108" t="s">
        <v>88</v>
      </c>
      <c r="J28" s="185" t="s">
        <v>59</v>
      </c>
    </row>
    <row r="29" spans="1:11">
      <c r="A29" s="184">
        <v>28</v>
      </c>
      <c r="B29" s="107" t="s">
        <v>755</v>
      </c>
      <c r="C29" s="109" t="s">
        <v>756</v>
      </c>
      <c r="D29" s="107" t="s">
        <v>40</v>
      </c>
      <c r="E29" s="107" t="s">
        <v>664</v>
      </c>
      <c r="F29" s="107" t="s">
        <v>665</v>
      </c>
      <c r="G29" s="115"/>
      <c r="H29" s="108" t="s">
        <v>59</v>
      </c>
      <c r="I29" s="108" t="s">
        <v>59</v>
      </c>
      <c r="J29" s="185" t="s">
        <v>59</v>
      </c>
    </row>
    <row r="30" spans="1:11">
      <c r="A30" s="187">
        <v>29</v>
      </c>
      <c r="B30" s="109" t="s">
        <v>757</v>
      </c>
      <c r="C30" s="109" t="s">
        <v>758</v>
      </c>
      <c r="D30" s="107" t="s">
        <v>759</v>
      </c>
      <c r="E30" s="186" t="s">
        <v>760</v>
      </c>
      <c r="F30" s="107" t="s">
        <v>665</v>
      </c>
      <c r="G30" s="107"/>
      <c r="H30" s="108" t="s">
        <v>721</v>
      </c>
      <c r="I30" s="108"/>
      <c r="J30" s="185" t="s">
        <v>59</v>
      </c>
    </row>
    <row r="31" spans="1:11">
      <c r="A31" s="187">
        <v>30</v>
      </c>
      <c r="B31" s="114" t="s">
        <v>761</v>
      </c>
      <c r="C31" s="107" t="s">
        <v>762</v>
      </c>
      <c r="D31" s="107" t="s">
        <v>682</v>
      </c>
      <c r="E31" s="109"/>
      <c r="F31" s="107" t="s">
        <v>665</v>
      </c>
      <c r="G31" s="107"/>
      <c r="H31" s="106" t="s">
        <v>721</v>
      </c>
      <c r="I31" s="106"/>
      <c r="J31" s="103"/>
    </row>
    <row r="32" spans="1:11">
      <c r="A32" s="184">
        <v>31</v>
      </c>
      <c r="B32" s="107" t="s">
        <v>763</v>
      </c>
      <c r="C32" s="107" t="s">
        <v>764</v>
      </c>
      <c r="D32" s="107" t="s">
        <v>765</v>
      </c>
      <c r="E32" s="109"/>
      <c r="F32" s="107" t="s">
        <v>665</v>
      </c>
      <c r="G32" s="107"/>
      <c r="H32" s="108" t="s">
        <v>721</v>
      </c>
      <c r="I32" s="108"/>
      <c r="J32" s="185"/>
    </row>
    <row r="33" spans="1:10">
      <c r="A33" s="187">
        <v>32</v>
      </c>
      <c r="B33" s="107" t="s">
        <v>766</v>
      </c>
      <c r="C33" s="109" t="s">
        <v>767</v>
      </c>
      <c r="D33" s="107" t="s">
        <v>768</v>
      </c>
      <c r="E33" s="109" t="s">
        <v>769</v>
      </c>
      <c r="F33" s="107" t="s">
        <v>665</v>
      </c>
      <c r="G33" s="107" t="s">
        <v>770</v>
      </c>
      <c r="H33" s="108" t="s">
        <v>88</v>
      </c>
      <c r="I33" s="108" t="s">
        <v>88</v>
      </c>
      <c r="J33" s="185" t="s">
        <v>88</v>
      </c>
    </row>
    <row r="34" spans="1:10">
      <c r="A34" s="187">
        <v>33</v>
      </c>
      <c r="B34" s="195" t="s">
        <v>771</v>
      </c>
      <c r="C34" s="186" t="s">
        <v>772</v>
      </c>
      <c r="D34" s="107" t="s">
        <v>773</v>
      </c>
      <c r="E34" s="112" t="s">
        <v>774</v>
      </c>
      <c r="F34" s="107" t="s">
        <v>665</v>
      </c>
      <c r="G34" s="107"/>
      <c r="H34" s="108" t="s">
        <v>721</v>
      </c>
      <c r="I34" s="108"/>
      <c r="J34" s="185"/>
    </row>
    <row r="35" spans="1:10">
      <c r="A35" s="184">
        <v>34</v>
      </c>
      <c r="B35" s="109" t="s">
        <v>775</v>
      </c>
      <c r="C35" s="107" t="s">
        <v>776</v>
      </c>
      <c r="D35" s="107" t="s">
        <v>390</v>
      </c>
      <c r="E35" s="114" t="s">
        <v>777</v>
      </c>
      <c r="F35" s="107" t="s">
        <v>778</v>
      </c>
      <c r="G35" s="115"/>
      <c r="H35" s="108" t="s">
        <v>88</v>
      </c>
      <c r="I35" s="108" t="s">
        <v>88</v>
      </c>
      <c r="J35" s="185" t="s">
        <v>88</v>
      </c>
    </row>
    <row r="36" spans="1:10">
      <c r="A36" s="187">
        <v>35</v>
      </c>
      <c r="B36" s="109" t="s">
        <v>420</v>
      </c>
      <c r="C36" s="107" t="s">
        <v>423</v>
      </c>
      <c r="D36" s="107" t="s">
        <v>390</v>
      </c>
      <c r="E36" s="109" t="s">
        <v>779</v>
      </c>
      <c r="F36" s="107" t="s">
        <v>778</v>
      </c>
      <c r="G36" s="115"/>
      <c r="H36" s="108" t="s">
        <v>88</v>
      </c>
      <c r="I36" s="108" t="s">
        <v>88</v>
      </c>
      <c r="J36" s="185" t="s">
        <v>88</v>
      </c>
    </row>
    <row r="37" spans="1:10">
      <c r="A37" s="187">
        <v>36</v>
      </c>
      <c r="B37" s="109" t="s">
        <v>780</v>
      </c>
      <c r="C37" s="107" t="s">
        <v>781</v>
      </c>
      <c r="D37" s="107" t="s">
        <v>390</v>
      </c>
      <c r="E37" s="114" t="s">
        <v>782</v>
      </c>
      <c r="F37" s="107" t="s">
        <v>778</v>
      </c>
      <c r="G37" s="115"/>
      <c r="H37" s="108" t="s">
        <v>88</v>
      </c>
      <c r="I37" s="108" t="s">
        <v>59</v>
      </c>
      <c r="J37" s="185" t="s">
        <v>88</v>
      </c>
    </row>
    <row r="38" spans="1:10">
      <c r="A38" s="184">
        <v>37</v>
      </c>
      <c r="B38" s="109"/>
      <c r="C38" s="107"/>
      <c r="D38" s="107"/>
      <c r="E38" s="109"/>
      <c r="F38" s="107"/>
      <c r="G38" s="115"/>
      <c r="H38" s="108"/>
      <c r="I38" s="108"/>
      <c r="J38" s="185"/>
    </row>
    <row r="39" spans="1:10">
      <c r="A39" s="187">
        <v>38</v>
      </c>
      <c r="B39" s="109"/>
      <c r="C39" s="107"/>
      <c r="D39" s="107"/>
      <c r="E39" s="109"/>
      <c r="F39" s="107"/>
      <c r="G39" s="196"/>
      <c r="H39" s="108"/>
      <c r="I39" s="108"/>
      <c r="J39" s="185"/>
    </row>
  </sheetData>
  <dataValidations count="2">
    <dataValidation type="list" allowBlank="1" showErrorMessage="1" sqref="I2:J39" xr:uid="{00000000-0002-0000-0500-000000000000}">
      <formula1>"DA,NE"</formula1>
    </dataValidation>
    <dataValidation type="list" allowBlank="1" showErrorMessage="1" sqref="H2:H39" xr:uid="{00000000-0002-0000-0500-000001000000}">
      <formula1>"DA,NE,NIJE POSLAT UPITNIK"</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R95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6640625" defaultRowHeight="15.75" customHeight="1"/>
  <cols>
    <col min="1" max="1" width="4" customWidth="1"/>
    <col min="2" max="2" width="15.21875" customWidth="1"/>
    <col min="4" max="4" width="16.6640625" customWidth="1"/>
    <col min="6" max="6" width="28.88671875" customWidth="1"/>
    <col min="7" max="7" width="20.109375" customWidth="1"/>
  </cols>
  <sheetData>
    <row r="1" spans="1:44" ht="24">
      <c r="A1" s="84"/>
      <c r="B1" s="85"/>
      <c r="C1" s="85"/>
      <c r="D1" s="85"/>
      <c r="E1" s="85"/>
      <c r="F1" s="85"/>
      <c r="G1" s="85"/>
      <c r="H1" s="460" t="s">
        <v>549</v>
      </c>
      <c r="I1" s="461"/>
      <c r="J1" s="461"/>
      <c r="K1" s="461"/>
      <c r="L1" s="461"/>
      <c r="M1" s="461"/>
      <c r="N1" s="461"/>
      <c r="O1" s="461"/>
      <c r="P1" s="461"/>
      <c r="Q1" s="461"/>
      <c r="R1" s="461"/>
      <c r="S1" s="461"/>
      <c r="T1" s="461"/>
      <c r="U1" s="462"/>
      <c r="V1" s="85"/>
      <c r="W1" s="458" t="s">
        <v>783</v>
      </c>
      <c r="X1" s="459"/>
      <c r="Y1" s="459"/>
      <c r="Z1" s="459"/>
      <c r="AA1" s="459"/>
      <c r="AB1" s="459"/>
      <c r="AC1" s="459"/>
      <c r="AD1" s="459"/>
      <c r="AE1" s="459"/>
      <c r="AF1" s="459"/>
      <c r="AG1" s="459"/>
      <c r="AH1" s="459"/>
      <c r="AI1" s="459"/>
      <c r="AJ1" s="459"/>
      <c r="AK1" s="459"/>
      <c r="AL1" s="459"/>
      <c r="AM1" s="459"/>
      <c r="AN1" s="459"/>
      <c r="AO1" s="459"/>
      <c r="AP1" s="459"/>
      <c r="AQ1" s="459"/>
      <c r="AR1" s="85"/>
    </row>
    <row r="2" spans="1:44" ht="82.8">
      <c r="A2" s="197" t="s">
        <v>312</v>
      </c>
      <c r="B2" s="198" t="s">
        <v>550</v>
      </c>
      <c r="C2" s="199" t="s">
        <v>2</v>
      </c>
      <c r="D2" s="199" t="s">
        <v>551</v>
      </c>
      <c r="E2" s="199" t="s">
        <v>552</v>
      </c>
      <c r="F2" s="199" t="s">
        <v>553</v>
      </c>
      <c r="G2" s="199" t="s">
        <v>23</v>
      </c>
      <c r="H2" s="199" t="s">
        <v>784</v>
      </c>
      <c r="I2" s="199" t="s">
        <v>785</v>
      </c>
      <c r="J2" s="199" t="s">
        <v>786</v>
      </c>
      <c r="K2" s="199" t="s">
        <v>787</v>
      </c>
      <c r="L2" s="199" t="s">
        <v>788</v>
      </c>
      <c r="M2" s="199" t="s">
        <v>789</v>
      </c>
      <c r="N2" s="199" t="s">
        <v>560</v>
      </c>
      <c r="O2" s="199" t="s">
        <v>790</v>
      </c>
      <c r="P2" s="199" t="s">
        <v>791</v>
      </c>
      <c r="Q2" s="199" t="s">
        <v>792</v>
      </c>
      <c r="R2" s="199" t="s">
        <v>793</v>
      </c>
      <c r="S2" s="199" t="s">
        <v>794</v>
      </c>
      <c r="T2" s="199" t="s">
        <v>563</v>
      </c>
      <c r="U2" s="198" t="s">
        <v>795</v>
      </c>
      <c r="V2" s="199" t="s">
        <v>796</v>
      </c>
      <c r="W2" s="200" t="s">
        <v>797</v>
      </c>
      <c r="X2" s="201" t="s">
        <v>798</v>
      </c>
      <c r="Y2" s="202" t="s">
        <v>799</v>
      </c>
      <c r="Z2" s="201" t="s">
        <v>800</v>
      </c>
      <c r="AA2" s="201" t="s">
        <v>801</v>
      </c>
      <c r="AB2" s="201" t="s">
        <v>802</v>
      </c>
      <c r="AC2" s="201" t="s">
        <v>577</v>
      </c>
      <c r="AD2" s="203" t="s">
        <v>803</v>
      </c>
      <c r="AE2" s="203" t="s">
        <v>804</v>
      </c>
      <c r="AF2" s="201" t="s">
        <v>805</v>
      </c>
      <c r="AG2" s="202" t="s">
        <v>806</v>
      </c>
      <c r="AH2" s="202" t="s">
        <v>807</v>
      </c>
      <c r="AI2" s="203" t="s">
        <v>808</v>
      </c>
      <c r="AJ2" s="203" t="s">
        <v>809</v>
      </c>
      <c r="AK2" s="203" t="s">
        <v>810</v>
      </c>
      <c r="AL2" s="203" t="s">
        <v>811</v>
      </c>
      <c r="AM2" s="203" t="s">
        <v>812</v>
      </c>
      <c r="AN2" s="203" t="s">
        <v>813</v>
      </c>
      <c r="AO2" s="203" t="s">
        <v>814</v>
      </c>
      <c r="AP2" s="203" t="s">
        <v>815</v>
      </c>
      <c r="AQ2" s="203" t="s">
        <v>816</v>
      </c>
      <c r="AR2" s="84"/>
    </row>
    <row r="3" spans="1:44" ht="52.8">
      <c r="A3" s="95">
        <v>2</v>
      </c>
      <c r="B3" s="109" t="s">
        <v>116</v>
      </c>
      <c r="C3" s="109" t="s">
        <v>40</v>
      </c>
      <c r="D3" s="109" t="s">
        <v>117</v>
      </c>
      <c r="E3" s="204">
        <f>381603101493</f>
        <v>381603101493</v>
      </c>
      <c r="F3" s="36" t="s">
        <v>120</v>
      </c>
      <c r="G3" s="112" t="s">
        <v>817</v>
      </c>
      <c r="H3" s="113" t="s">
        <v>88</v>
      </c>
      <c r="I3" s="113" t="s">
        <v>88</v>
      </c>
      <c r="J3" s="113" t="s">
        <v>88</v>
      </c>
      <c r="K3" s="113" t="s">
        <v>88</v>
      </c>
      <c r="L3" s="113" t="s">
        <v>88</v>
      </c>
      <c r="M3" s="147" t="s">
        <v>818</v>
      </c>
      <c r="N3" s="147" t="s">
        <v>819</v>
      </c>
      <c r="O3" s="124">
        <v>45606</v>
      </c>
      <c r="P3" s="113" t="s">
        <v>88</v>
      </c>
      <c r="Q3" s="123">
        <v>45610</v>
      </c>
      <c r="R3" s="123">
        <v>45646</v>
      </c>
      <c r="S3" s="113" t="s">
        <v>88</v>
      </c>
      <c r="T3" s="112" t="s">
        <v>820</v>
      </c>
      <c r="U3" s="113" t="s">
        <v>88</v>
      </c>
      <c r="V3" s="105" t="s">
        <v>88</v>
      </c>
      <c r="W3" s="116" t="s">
        <v>88</v>
      </c>
      <c r="X3" s="106"/>
      <c r="Y3" s="105"/>
      <c r="Z3" s="106"/>
      <c r="AA3" s="106"/>
      <c r="AB3" s="106" t="s">
        <v>821</v>
      </c>
      <c r="AC3" s="107" t="s">
        <v>88</v>
      </c>
      <c r="AD3" s="106"/>
      <c r="AE3" s="106"/>
      <c r="AF3" s="106"/>
      <c r="AG3" s="105"/>
      <c r="AH3" s="106"/>
      <c r="AI3" s="107" t="s">
        <v>88</v>
      </c>
      <c r="AJ3" s="107" t="s">
        <v>88</v>
      </c>
      <c r="AK3" s="107" t="s">
        <v>59</v>
      </c>
      <c r="AL3" s="107" t="s">
        <v>88</v>
      </c>
      <c r="AM3" s="107" t="s">
        <v>88</v>
      </c>
      <c r="AN3" s="107" t="s">
        <v>88</v>
      </c>
      <c r="AO3" s="106"/>
      <c r="AP3" s="106"/>
      <c r="AQ3" s="107" t="s">
        <v>88</v>
      </c>
      <c r="AR3" s="84"/>
    </row>
    <row r="4" spans="1:44" ht="52.8">
      <c r="A4" s="95">
        <v>3</v>
      </c>
      <c r="B4" s="109" t="s">
        <v>89</v>
      </c>
      <c r="C4" s="109" t="s">
        <v>40</v>
      </c>
      <c r="D4" s="109" t="s">
        <v>90</v>
      </c>
      <c r="E4" s="110" t="s">
        <v>822</v>
      </c>
      <c r="F4" s="36" t="s">
        <v>823</v>
      </c>
      <c r="G4" s="112" t="s">
        <v>824</v>
      </c>
      <c r="H4" s="113" t="s">
        <v>88</v>
      </c>
      <c r="I4" s="113" t="s">
        <v>88</v>
      </c>
      <c r="J4" s="113" t="s">
        <v>88</v>
      </c>
      <c r="K4" s="113" t="s">
        <v>88</v>
      </c>
      <c r="L4" s="113" t="s">
        <v>88</v>
      </c>
      <c r="M4" s="107" t="s">
        <v>825</v>
      </c>
      <c r="N4" s="114" t="s">
        <v>826</v>
      </c>
      <c r="O4" s="124">
        <v>45580</v>
      </c>
      <c r="P4" s="113" t="s">
        <v>88</v>
      </c>
      <c r="Q4" s="115">
        <v>45579</v>
      </c>
      <c r="R4" s="115">
        <v>45627</v>
      </c>
      <c r="S4" s="113" t="s">
        <v>88</v>
      </c>
      <c r="T4" s="125" t="s">
        <v>827</v>
      </c>
      <c r="U4" s="113" t="s">
        <v>88</v>
      </c>
      <c r="V4" s="116" t="s">
        <v>88</v>
      </c>
      <c r="W4" s="116" t="s">
        <v>88</v>
      </c>
      <c r="X4" s="106"/>
      <c r="Y4" s="105"/>
      <c r="Z4" s="106"/>
      <c r="AA4" s="205" t="s">
        <v>828</v>
      </c>
      <c r="AB4" s="107" t="s">
        <v>821</v>
      </c>
      <c r="AC4" s="107" t="s">
        <v>59</v>
      </c>
      <c r="AD4" s="106"/>
      <c r="AE4" s="106"/>
      <c r="AF4" s="106"/>
      <c r="AG4" s="105"/>
      <c r="AH4" s="106"/>
      <c r="AI4" s="107" t="s">
        <v>88</v>
      </c>
      <c r="AJ4" s="107" t="s">
        <v>88</v>
      </c>
      <c r="AK4" s="107" t="s">
        <v>88</v>
      </c>
      <c r="AL4" s="107" t="s">
        <v>88</v>
      </c>
      <c r="AM4" s="107" t="s">
        <v>88</v>
      </c>
      <c r="AN4" s="107" t="s">
        <v>88</v>
      </c>
      <c r="AO4" s="106"/>
      <c r="AP4" s="106"/>
      <c r="AQ4" s="107" t="s">
        <v>88</v>
      </c>
      <c r="AR4" s="84"/>
    </row>
    <row r="5" spans="1:44" ht="50.25" customHeight="1">
      <c r="A5" s="95">
        <v>4</v>
      </c>
      <c r="B5" s="109" t="s">
        <v>70</v>
      </c>
      <c r="C5" s="109" t="s">
        <v>40</v>
      </c>
      <c r="D5" s="112" t="s">
        <v>829</v>
      </c>
      <c r="E5" s="204" t="s">
        <v>830</v>
      </c>
      <c r="F5" s="36" t="s">
        <v>831</v>
      </c>
      <c r="G5" s="112" t="s">
        <v>832</v>
      </c>
      <c r="H5" s="113" t="s">
        <v>88</v>
      </c>
      <c r="I5" s="113" t="s">
        <v>88</v>
      </c>
      <c r="J5" s="113" t="s">
        <v>88</v>
      </c>
      <c r="K5" s="113" t="s">
        <v>88</v>
      </c>
      <c r="L5" s="113" t="s">
        <v>88</v>
      </c>
      <c r="M5" s="121" t="s">
        <v>833</v>
      </c>
      <c r="N5" s="147" t="s">
        <v>834</v>
      </c>
      <c r="O5" s="124">
        <v>45593</v>
      </c>
      <c r="P5" s="113" t="s">
        <v>88</v>
      </c>
      <c r="Q5" s="123">
        <v>45595</v>
      </c>
      <c r="R5" s="124">
        <v>45644</v>
      </c>
      <c r="S5" s="106"/>
      <c r="T5" s="112" t="s">
        <v>835</v>
      </c>
      <c r="U5" s="113" t="s">
        <v>88</v>
      </c>
      <c r="V5" s="116" t="s">
        <v>88</v>
      </c>
      <c r="W5" s="116" t="s">
        <v>88</v>
      </c>
      <c r="X5" s="106"/>
      <c r="Y5" s="105"/>
      <c r="Z5" s="106"/>
      <c r="AA5" s="114" t="s">
        <v>836</v>
      </c>
      <c r="AB5" s="107" t="s">
        <v>821</v>
      </c>
      <c r="AC5" s="107"/>
      <c r="AD5" s="106"/>
      <c r="AE5" s="106"/>
      <c r="AF5" s="106"/>
      <c r="AG5" s="105"/>
      <c r="AH5" s="106"/>
      <c r="AI5" s="107" t="s">
        <v>88</v>
      </c>
      <c r="AJ5" s="107" t="s">
        <v>88</v>
      </c>
      <c r="AK5" s="106"/>
      <c r="AL5" s="107" t="s">
        <v>88</v>
      </c>
      <c r="AM5" s="106"/>
      <c r="AN5" s="107" t="s">
        <v>88</v>
      </c>
      <c r="AO5" s="106"/>
      <c r="AP5" s="106"/>
      <c r="AQ5" s="107" t="s">
        <v>88</v>
      </c>
      <c r="AR5" s="84"/>
    </row>
    <row r="6" spans="1:44" ht="52.8">
      <c r="A6" s="95">
        <v>6</v>
      </c>
      <c r="B6" s="109" t="s">
        <v>60</v>
      </c>
      <c r="C6" s="109" t="s">
        <v>40</v>
      </c>
      <c r="D6" s="109" t="s">
        <v>61</v>
      </c>
      <c r="E6" s="126" t="s">
        <v>837</v>
      </c>
      <c r="F6" s="134" t="s">
        <v>838</v>
      </c>
      <c r="G6" s="112" t="s">
        <v>824</v>
      </c>
      <c r="H6" s="113" t="s">
        <v>88</v>
      </c>
      <c r="I6" s="113" t="s">
        <v>88</v>
      </c>
      <c r="J6" s="113" t="s">
        <v>88</v>
      </c>
      <c r="K6" s="113" t="s">
        <v>88</v>
      </c>
      <c r="L6" s="113" t="s">
        <v>88</v>
      </c>
      <c r="M6" s="128" t="s">
        <v>839</v>
      </c>
      <c r="N6" s="206" t="s">
        <v>840</v>
      </c>
      <c r="O6" s="207">
        <v>45561</v>
      </c>
      <c r="P6" s="106" t="s">
        <v>88</v>
      </c>
      <c r="Q6" s="130"/>
      <c r="R6" s="131"/>
      <c r="S6" s="106" t="s">
        <v>88</v>
      </c>
      <c r="T6" s="133"/>
      <c r="U6" s="113" t="s">
        <v>88</v>
      </c>
      <c r="V6" s="116" t="s">
        <v>88</v>
      </c>
      <c r="W6" s="116" t="s">
        <v>88</v>
      </c>
      <c r="X6" s="106"/>
      <c r="Y6" s="105"/>
      <c r="Z6" s="106"/>
      <c r="AA6" s="114" t="s">
        <v>841</v>
      </c>
      <c r="AB6" s="107" t="s">
        <v>821</v>
      </c>
      <c r="AC6" s="107" t="s">
        <v>59</v>
      </c>
      <c r="AD6" s="106"/>
      <c r="AE6" s="106"/>
      <c r="AF6" s="106"/>
      <c r="AG6" s="105"/>
      <c r="AH6" s="106"/>
      <c r="AI6" s="107" t="s">
        <v>88</v>
      </c>
      <c r="AJ6" s="107" t="s">
        <v>88</v>
      </c>
      <c r="AK6" s="106"/>
      <c r="AL6" s="107" t="s">
        <v>88</v>
      </c>
      <c r="AM6" s="107" t="s">
        <v>88</v>
      </c>
      <c r="AN6" s="107" t="s">
        <v>88</v>
      </c>
      <c r="AO6" s="106"/>
      <c r="AP6" s="106"/>
      <c r="AQ6" s="107" t="s">
        <v>88</v>
      </c>
      <c r="AR6" s="84"/>
    </row>
    <row r="7" spans="1:44" ht="79.2">
      <c r="A7" s="95">
        <v>7</v>
      </c>
      <c r="B7" s="109" t="s">
        <v>98</v>
      </c>
      <c r="C7" s="109" t="s">
        <v>40</v>
      </c>
      <c r="D7" s="109" t="s">
        <v>99</v>
      </c>
      <c r="E7" s="116" t="s">
        <v>102</v>
      </c>
      <c r="F7" s="134" t="s">
        <v>100</v>
      </c>
      <c r="G7" s="112" t="s">
        <v>842</v>
      </c>
      <c r="H7" s="106"/>
      <c r="I7" s="106"/>
      <c r="J7" s="106"/>
      <c r="K7" s="106"/>
      <c r="L7" s="106"/>
      <c r="M7" s="133"/>
      <c r="N7" s="133"/>
      <c r="O7" s="131"/>
      <c r="P7" s="106"/>
      <c r="Q7" s="130"/>
      <c r="R7" s="131"/>
      <c r="S7" s="106"/>
      <c r="T7" s="133"/>
      <c r="U7" s="106"/>
      <c r="V7" s="105" t="s">
        <v>88</v>
      </c>
      <c r="W7" s="105"/>
      <c r="X7" s="106"/>
      <c r="Y7" s="105"/>
      <c r="Z7" s="106"/>
      <c r="AA7" s="114" t="s">
        <v>843</v>
      </c>
      <c r="AB7" s="106" t="s">
        <v>821</v>
      </c>
      <c r="AC7" s="107"/>
      <c r="AD7" s="106"/>
      <c r="AE7" s="106"/>
      <c r="AF7" s="106"/>
      <c r="AG7" s="105"/>
      <c r="AH7" s="106"/>
      <c r="AI7" s="107" t="s">
        <v>88</v>
      </c>
      <c r="AJ7" s="106" t="s">
        <v>88</v>
      </c>
      <c r="AK7" s="106"/>
      <c r="AL7" s="107" t="s">
        <v>88</v>
      </c>
      <c r="AM7" s="106" t="s">
        <v>88</v>
      </c>
      <c r="AN7" s="106" t="s">
        <v>88</v>
      </c>
      <c r="AO7" s="106"/>
      <c r="AP7" s="106"/>
      <c r="AQ7" s="106" t="s">
        <v>88</v>
      </c>
      <c r="AR7" s="84"/>
    </row>
    <row r="8" spans="1:44" ht="53.25" customHeight="1">
      <c r="A8" s="95">
        <v>8</v>
      </c>
      <c r="B8" s="109" t="s">
        <v>107</v>
      </c>
      <c r="C8" s="109" t="s">
        <v>40</v>
      </c>
      <c r="D8" s="109" t="s">
        <v>844</v>
      </c>
      <c r="E8" s="126" t="s">
        <v>111</v>
      </c>
      <c r="F8" s="134" t="s">
        <v>109</v>
      </c>
      <c r="G8" s="135" t="s">
        <v>845</v>
      </c>
      <c r="H8" s="106"/>
      <c r="I8" s="106"/>
      <c r="J8" s="106"/>
      <c r="K8" s="106"/>
      <c r="L8" s="106"/>
      <c r="M8" s="133"/>
      <c r="N8" s="133"/>
      <c r="O8" s="131"/>
      <c r="P8" s="106"/>
      <c r="Q8" s="130"/>
      <c r="R8" s="131"/>
      <c r="S8" s="106"/>
      <c r="T8" s="133"/>
      <c r="U8" s="106"/>
      <c r="V8" s="105" t="s">
        <v>88</v>
      </c>
      <c r="W8" s="116" t="s">
        <v>88</v>
      </c>
      <c r="X8" s="106"/>
      <c r="Y8" s="105"/>
      <c r="Z8" s="106"/>
      <c r="AA8" s="106"/>
      <c r="AB8" s="106"/>
      <c r="AC8" s="107"/>
      <c r="AD8" s="106"/>
      <c r="AE8" s="106"/>
      <c r="AF8" s="106"/>
      <c r="AG8" s="105"/>
      <c r="AH8" s="106"/>
      <c r="AI8" s="106" t="s">
        <v>88</v>
      </c>
      <c r="AJ8" s="106" t="s">
        <v>88</v>
      </c>
      <c r="AK8" s="106"/>
      <c r="AL8" s="106" t="s">
        <v>88</v>
      </c>
      <c r="AM8" s="106" t="s">
        <v>88</v>
      </c>
      <c r="AN8" s="106" t="s">
        <v>88</v>
      </c>
      <c r="AO8" s="106"/>
      <c r="AP8" s="106"/>
      <c r="AQ8" s="107" t="s">
        <v>88</v>
      </c>
      <c r="AR8" s="84"/>
    </row>
    <row r="9" spans="1:44" ht="13.8">
      <c r="A9" s="95">
        <v>9</v>
      </c>
      <c r="B9" s="109" t="s">
        <v>846</v>
      </c>
      <c r="C9" s="109" t="s">
        <v>40</v>
      </c>
      <c r="D9" s="109" t="s">
        <v>80</v>
      </c>
      <c r="E9" s="126" t="s">
        <v>83</v>
      </c>
      <c r="F9" s="134" t="s">
        <v>81</v>
      </c>
      <c r="G9" s="135" t="s">
        <v>847</v>
      </c>
      <c r="H9" s="106"/>
      <c r="I9" s="106"/>
      <c r="J9" s="106" t="s">
        <v>88</v>
      </c>
      <c r="K9" s="106" t="s">
        <v>88</v>
      </c>
      <c r="L9" s="106" t="s">
        <v>88</v>
      </c>
      <c r="M9" s="133" t="s">
        <v>848</v>
      </c>
      <c r="N9" s="133" t="s">
        <v>849</v>
      </c>
      <c r="O9" s="131"/>
      <c r="P9" s="106"/>
      <c r="Q9" s="130"/>
      <c r="R9" s="131"/>
      <c r="S9" s="106"/>
      <c r="T9" s="133"/>
      <c r="U9" s="106"/>
      <c r="V9" s="116" t="s">
        <v>88</v>
      </c>
      <c r="W9" s="116" t="s">
        <v>88</v>
      </c>
      <c r="X9" s="106"/>
      <c r="Y9" s="105"/>
      <c r="Z9" s="106"/>
      <c r="AA9" s="106"/>
      <c r="AB9" s="106"/>
      <c r="AC9" s="107"/>
      <c r="AD9" s="106"/>
      <c r="AE9" s="106"/>
      <c r="AF9" s="106"/>
      <c r="AG9" s="105"/>
      <c r="AH9" s="106"/>
      <c r="AI9" s="106" t="s">
        <v>88</v>
      </c>
      <c r="AJ9" s="106" t="s">
        <v>88</v>
      </c>
      <c r="AK9" s="106" t="s">
        <v>88</v>
      </c>
      <c r="AL9" s="106" t="s">
        <v>88</v>
      </c>
      <c r="AM9" s="106" t="s">
        <v>88</v>
      </c>
      <c r="AN9" s="106" t="s">
        <v>88</v>
      </c>
      <c r="AO9" s="106"/>
      <c r="AP9" s="106"/>
      <c r="AQ9" s="107" t="s">
        <v>88</v>
      </c>
      <c r="AR9" s="84"/>
    </row>
    <row r="10" spans="1:44" ht="13.8">
      <c r="A10" s="95">
        <v>10</v>
      </c>
      <c r="B10" s="109" t="s">
        <v>658</v>
      </c>
      <c r="C10" s="109" t="s">
        <v>40</v>
      </c>
      <c r="D10" s="109" t="s">
        <v>80</v>
      </c>
      <c r="E10" s="126" t="s">
        <v>83</v>
      </c>
      <c r="F10" s="134" t="s">
        <v>656</v>
      </c>
      <c r="G10" s="135" t="s">
        <v>850</v>
      </c>
      <c r="H10" s="106"/>
      <c r="I10" s="106"/>
      <c r="J10" s="106"/>
      <c r="K10" s="106"/>
      <c r="L10" s="106"/>
      <c r="M10" s="133"/>
      <c r="N10" s="133"/>
      <c r="O10" s="131"/>
      <c r="P10" s="106"/>
      <c r="Q10" s="130"/>
      <c r="R10" s="131"/>
      <c r="S10" s="106"/>
      <c r="T10" s="133"/>
      <c r="U10" s="106"/>
      <c r="V10" s="105"/>
      <c r="W10" s="116" t="s">
        <v>88</v>
      </c>
      <c r="X10" s="106"/>
      <c r="Y10" s="105"/>
      <c r="Z10" s="106"/>
      <c r="AA10" s="106"/>
      <c r="AB10" s="106"/>
      <c r="AC10" s="107"/>
      <c r="AD10" s="106"/>
      <c r="AE10" s="106"/>
      <c r="AF10" s="106"/>
      <c r="AG10" s="105"/>
      <c r="AH10" s="106"/>
      <c r="AI10" s="106"/>
      <c r="AJ10" s="106"/>
      <c r="AK10" s="106"/>
      <c r="AL10" s="106"/>
      <c r="AM10" s="106"/>
      <c r="AN10" s="106"/>
      <c r="AO10" s="106"/>
      <c r="AP10" s="106"/>
      <c r="AQ10" s="107" t="s">
        <v>59</v>
      </c>
      <c r="AR10" s="84"/>
    </row>
    <row r="11" spans="1:44" ht="65.25" customHeight="1">
      <c r="A11" s="95">
        <v>11</v>
      </c>
      <c r="B11" s="109" t="s">
        <v>324</v>
      </c>
      <c r="C11" s="109" t="s">
        <v>40</v>
      </c>
      <c r="D11" s="109" t="s">
        <v>325</v>
      </c>
      <c r="E11" s="126" t="s">
        <v>328</v>
      </c>
      <c r="F11" s="136" t="s">
        <v>704</v>
      </c>
      <c r="G11" s="135" t="s">
        <v>851</v>
      </c>
      <c r="H11" s="113" t="s">
        <v>88</v>
      </c>
      <c r="I11" s="106" t="s">
        <v>88</v>
      </c>
      <c r="J11" s="106" t="s">
        <v>88</v>
      </c>
      <c r="K11" s="106" t="s">
        <v>88</v>
      </c>
      <c r="L11" s="106" t="s">
        <v>88</v>
      </c>
      <c r="M11" s="112" t="s">
        <v>852</v>
      </c>
      <c r="N11" s="137" t="s">
        <v>853</v>
      </c>
      <c r="O11" s="131"/>
      <c r="P11" s="106" t="s">
        <v>88</v>
      </c>
      <c r="Q11" s="138">
        <v>45769</v>
      </c>
      <c r="R11" s="139">
        <v>45821</v>
      </c>
      <c r="S11" s="106" t="s">
        <v>88</v>
      </c>
      <c r="T11" s="112" t="s">
        <v>854</v>
      </c>
      <c r="U11" s="106" t="s">
        <v>88</v>
      </c>
      <c r="V11" s="105"/>
      <c r="W11" s="116" t="s">
        <v>88</v>
      </c>
      <c r="X11" s="106" t="s">
        <v>88</v>
      </c>
      <c r="Y11" s="105"/>
      <c r="Z11" s="106"/>
      <c r="AA11" s="106"/>
      <c r="AB11" s="106" t="s">
        <v>821</v>
      </c>
      <c r="AC11" s="107"/>
      <c r="AD11" s="106"/>
      <c r="AE11" s="106"/>
      <c r="AF11" s="106"/>
      <c r="AG11" s="105"/>
      <c r="AH11" s="106"/>
      <c r="AI11" s="106"/>
      <c r="AJ11" s="106"/>
      <c r="AK11" s="106"/>
      <c r="AL11" s="106"/>
      <c r="AM11" s="106"/>
      <c r="AN11" s="106"/>
      <c r="AO11" s="106"/>
      <c r="AP11" s="106"/>
      <c r="AQ11" s="106" t="s">
        <v>88</v>
      </c>
      <c r="AR11" s="84"/>
    </row>
    <row r="12" spans="1:44" ht="65.25" customHeight="1">
      <c r="A12" s="95">
        <v>12</v>
      </c>
      <c r="B12" s="109" t="s">
        <v>350</v>
      </c>
      <c r="C12" s="109" t="s">
        <v>40</v>
      </c>
      <c r="D12" s="140" t="s">
        <v>855</v>
      </c>
      <c r="E12" s="141" t="s">
        <v>354</v>
      </c>
      <c r="F12" s="142" t="s">
        <v>856</v>
      </c>
      <c r="G12" s="135" t="s">
        <v>857</v>
      </c>
      <c r="H12" s="113" t="s">
        <v>88</v>
      </c>
      <c r="I12" s="106" t="s">
        <v>88</v>
      </c>
      <c r="J12" s="106" t="s">
        <v>88</v>
      </c>
      <c r="K12" s="106" t="s">
        <v>88</v>
      </c>
      <c r="L12" s="106" t="s">
        <v>88</v>
      </c>
      <c r="M12" s="112" t="s">
        <v>858</v>
      </c>
      <c r="N12" s="143" t="s">
        <v>859</v>
      </c>
      <c r="O12" s="131"/>
      <c r="P12" s="106" t="s">
        <v>88</v>
      </c>
      <c r="Q12" s="138">
        <v>45785</v>
      </c>
      <c r="R12" s="139">
        <v>45821</v>
      </c>
      <c r="S12" s="106" t="s">
        <v>88</v>
      </c>
      <c r="T12" s="112" t="s">
        <v>860</v>
      </c>
      <c r="U12" s="106" t="s">
        <v>88</v>
      </c>
      <c r="V12" s="105"/>
      <c r="W12" s="116" t="s">
        <v>88</v>
      </c>
      <c r="X12" s="106" t="s">
        <v>88</v>
      </c>
      <c r="Y12" s="105"/>
      <c r="Z12" s="106"/>
      <c r="AA12" s="106"/>
      <c r="AB12" s="106" t="s">
        <v>821</v>
      </c>
      <c r="AC12" s="107"/>
      <c r="AD12" s="106"/>
      <c r="AE12" s="106"/>
      <c r="AF12" s="106"/>
      <c r="AG12" s="105"/>
      <c r="AH12" s="106"/>
      <c r="AI12" s="106"/>
      <c r="AJ12" s="106"/>
      <c r="AK12" s="106"/>
      <c r="AL12" s="106"/>
      <c r="AM12" s="106"/>
      <c r="AN12" s="106"/>
      <c r="AO12" s="106"/>
      <c r="AP12" s="106"/>
      <c r="AQ12" s="106" t="s">
        <v>88</v>
      </c>
      <c r="AR12" s="84"/>
    </row>
    <row r="13" spans="1:44" ht="65.25" customHeight="1">
      <c r="A13" s="95">
        <v>13</v>
      </c>
      <c r="B13" s="109" t="s">
        <v>358</v>
      </c>
      <c r="C13" s="109" t="s">
        <v>40</v>
      </c>
      <c r="D13" s="109" t="s">
        <v>359</v>
      </c>
      <c r="E13" s="141" t="s">
        <v>361</v>
      </c>
      <c r="F13" s="109" t="s">
        <v>360</v>
      </c>
      <c r="G13" s="135" t="s">
        <v>861</v>
      </c>
      <c r="H13" s="113" t="s">
        <v>88</v>
      </c>
      <c r="I13" s="106" t="s">
        <v>88</v>
      </c>
      <c r="J13" s="106" t="s">
        <v>88</v>
      </c>
      <c r="K13" s="106" t="s">
        <v>88</v>
      </c>
      <c r="L13" s="106" t="s">
        <v>88</v>
      </c>
      <c r="M13" s="112" t="s">
        <v>862</v>
      </c>
      <c r="N13" s="144" t="s">
        <v>863</v>
      </c>
      <c r="O13" s="131">
        <v>45771</v>
      </c>
      <c r="P13" s="106" t="s">
        <v>88</v>
      </c>
      <c r="Q13" s="130">
        <v>45776</v>
      </c>
      <c r="R13" s="131">
        <v>45818</v>
      </c>
      <c r="S13" s="106" t="s">
        <v>88</v>
      </c>
      <c r="T13" s="112" t="s">
        <v>864</v>
      </c>
      <c r="U13" s="106" t="s">
        <v>88</v>
      </c>
      <c r="V13" s="105"/>
      <c r="W13" s="116" t="s">
        <v>88</v>
      </c>
      <c r="X13" s="106"/>
      <c r="Y13" s="105"/>
      <c r="Z13" s="106"/>
      <c r="AA13" s="106"/>
      <c r="AB13" s="106"/>
      <c r="AC13" s="107"/>
      <c r="AD13" s="106"/>
      <c r="AE13" s="106"/>
      <c r="AF13" s="106"/>
      <c r="AG13" s="105"/>
      <c r="AH13" s="106"/>
      <c r="AI13" s="106"/>
      <c r="AJ13" s="106"/>
      <c r="AK13" s="106"/>
      <c r="AL13" s="106"/>
      <c r="AM13" s="106"/>
      <c r="AN13" s="106"/>
      <c r="AO13" s="106"/>
      <c r="AP13" s="106"/>
      <c r="AQ13" s="106"/>
      <c r="AR13" s="84"/>
    </row>
    <row r="14" spans="1:44" ht="65.25" customHeight="1">
      <c r="A14" s="95">
        <v>14</v>
      </c>
      <c r="B14" s="109" t="s">
        <v>700</v>
      </c>
      <c r="C14" s="109" t="s">
        <v>433</v>
      </c>
      <c r="D14" s="109" t="s">
        <v>698</v>
      </c>
      <c r="E14" s="145">
        <f>38269349069</f>
        <v>38269349069</v>
      </c>
      <c r="F14" s="146" t="s">
        <v>699</v>
      </c>
      <c r="G14" s="135" t="s">
        <v>865</v>
      </c>
      <c r="H14" s="113" t="s">
        <v>88</v>
      </c>
      <c r="I14" s="106"/>
      <c r="J14" s="106"/>
      <c r="K14" s="106"/>
      <c r="L14" s="106"/>
      <c r="M14" s="112"/>
      <c r="N14" s="144"/>
      <c r="O14" s="131"/>
      <c r="P14" s="106"/>
      <c r="Q14" s="130"/>
      <c r="R14" s="131"/>
      <c r="S14" s="106"/>
      <c r="T14" s="112"/>
      <c r="U14" s="106"/>
      <c r="V14" s="105"/>
      <c r="W14" s="116"/>
      <c r="X14" s="106"/>
      <c r="Y14" s="105"/>
      <c r="Z14" s="106"/>
      <c r="AA14" s="106"/>
      <c r="AB14" s="106"/>
      <c r="AC14" s="107"/>
      <c r="AD14" s="106"/>
      <c r="AE14" s="106"/>
      <c r="AF14" s="106"/>
      <c r="AG14" s="105"/>
      <c r="AH14" s="106"/>
      <c r="AI14" s="106"/>
      <c r="AJ14" s="106"/>
      <c r="AK14" s="106"/>
      <c r="AL14" s="106"/>
      <c r="AM14" s="106"/>
      <c r="AN14" s="106"/>
      <c r="AO14" s="106"/>
      <c r="AP14" s="106"/>
      <c r="AQ14" s="106"/>
      <c r="AR14" s="84"/>
    </row>
    <row r="15" spans="1:44" ht="52.8">
      <c r="A15" s="95">
        <v>15</v>
      </c>
      <c r="B15" s="109" t="s">
        <v>866</v>
      </c>
      <c r="C15" s="107" t="s">
        <v>470</v>
      </c>
      <c r="D15" s="107" t="s">
        <v>867</v>
      </c>
      <c r="E15" s="121" t="s">
        <v>868</v>
      </c>
      <c r="F15" s="109" t="s">
        <v>869</v>
      </c>
      <c r="G15" s="112" t="s">
        <v>870</v>
      </c>
      <c r="H15" s="113" t="s">
        <v>88</v>
      </c>
      <c r="I15" s="113" t="s">
        <v>88</v>
      </c>
      <c r="J15" s="113" t="s">
        <v>88</v>
      </c>
      <c r="K15" s="113" t="s">
        <v>88</v>
      </c>
      <c r="L15" s="113" t="s">
        <v>88</v>
      </c>
      <c r="M15" s="147" t="s">
        <v>871</v>
      </c>
      <c r="N15" s="147" t="s">
        <v>872</v>
      </c>
      <c r="O15" s="115">
        <v>45607</v>
      </c>
      <c r="P15" s="106"/>
      <c r="Q15" s="124">
        <v>45603</v>
      </c>
      <c r="R15" s="138">
        <v>45646</v>
      </c>
      <c r="S15" s="106"/>
      <c r="T15" s="95" t="s">
        <v>873</v>
      </c>
      <c r="U15" s="106"/>
      <c r="V15" s="105"/>
      <c r="W15" s="105"/>
      <c r="X15" s="106"/>
      <c r="Y15" s="105"/>
      <c r="Z15" s="106"/>
      <c r="AA15" s="106"/>
      <c r="AB15" s="106"/>
      <c r="AC15" s="106"/>
      <c r="AD15" s="106"/>
      <c r="AE15" s="106"/>
      <c r="AF15" s="106"/>
      <c r="AG15" s="105"/>
      <c r="AH15" s="106"/>
      <c r="AI15" s="106"/>
      <c r="AJ15" s="106"/>
      <c r="AK15" s="106"/>
      <c r="AL15" s="106"/>
      <c r="AM15" s="106"/>
      <c r="AN15" s="106"/>
      <c r="AO15" s="106"/>
      <c r="AP15" s="106"/>
      <c r="AQ15" s="107" t="s">
        <v>59</v>
      </c>
      <c r="AR15" s="84"/>
    </row>
    <row r="16" spans="1:44" ht="13.8">
      <c r="A16" s="95">
        <v>16</v>
      </c>
      <c r="B16" s="107" t="s">
        <v>509</v>
      </c>
      <c r="C16" s="107" t="s">
        <v>470</v>
      </c>
      <c r="D16" s="107" t="s">
        <v>510</v>
      </c>
      <c r="E16" s="107" t="s">
        <v>874</v>
      </c>
      <c r="F16" s="107" t="s">
        <v>722</v>
      </c>
      <c r="G16" s="114" t="s">
        <v>875</v>
      </c>
      <c r="H16" s="113" t="s">
        <v>88</v>
      </c>
      <c r="I16" s="106" t="s">
        <v>88</v>
      </c>
      <c r="J16" s="106"/>
      <c r="K16" s="106"/>
      <c r="L16" s="106"/>
      <c r="M16" s="133"/>
      <c r="N16" s="133"/>
      <c r="O16" s="133"/>
      <c r="P16" s="106"/>
      <c r="Q16" s="131"/>
      <c r="R16" s="131"/>
      <c r="S16" s="106"/>
      <c r="T16" s="133"/>
      <c r="U16" s="106"/>
      <c r="V16" s="105"/>
      <c r="W16" s="105"/>
      <c r="X16" s="106"/>
      <c r="Y16" s="105"/>
      <c r="Z16" s="106"/>
      <c r="AA16" s="106"/>
      <c r="AB16" s="106"/>
      <c r="AC16" s="106"/>
      <c r="AD16" s="106"/>
      <c r="AE16" s="106"/>
      <c r="AF16" s="106"/>
      <c r="AG16" s="105"/>
      <c r="AH16" s="106"/>
      <c r="AI16" s="106"/>
      <c r="AJ16" s="106"/>
      <c r="AK16" s="106"/>
      <c r="AL16" s="106"/>
      <c r="AM16" s="106"/>
      <c r="AN16" s="106"/>
      <c r="AO16" s="106"/>
      <c r="AP16" s="106"/>
      <c r="AQ16" s="107" t="s">
        <v>88</v>
      </c>
      <c r="AR16" s="84"/>
    </row>
    <row r="17" spans="1:44" ht="13.2">
      <c r="A17" s="85"/>
      <c r="B17" s="85"/>
      <c r="C17" s="85"/>
      <c r="D17" s="85"/>
      <c r="E17" s="85"/>
      <c r="F17" s="85"/>
      <c r="G17" s="85"/>
      <c r="H17" s="85"/>
      <c r="I17" s="85"/>
      <c r="J17" s="85"/>
      <c r="K17" s="85"/>
      <c r="L17" s="85"/>
      <c r="M17" s="85"/>
      <c r="N17" s="85"/>
      <c r="O17" s="85"/>
      <c r="P17" s="85"/>
      <c r="Q17" s="85"/>
      <c r="R17" s="85"/>
      <c r="S17" s="208"/>
      <c r="T17" s="85"/>
      <c r="U17" s="85"/>
      <c r="V17" s="85"/>
      <c r="W17" s="209"/>
      <c r="X17" s="84"/>
      <c r="Y17" s="84"/>
      <c r="Z17" s="84"/>
      <c r="AA17" s="84"/>
      <c r="AB17" s="84"/>
      <c r="AC17" s="84"/>
      <c r="AD17" s="85"/>
      <c r="AE17" s="85"/>
      <c r="AF17" s="84"/>
      <c r="AG17" s="84"/>
      <c r="AH17" s="84"/>
      <c r="AI17" s="84"/>
      <c r="AJ17" s="84"/>
      <c r="AK17" s="84"/>
      <c r="AL17" s="84"/>
      <c r="AM17" s="84"/>
      <c r="AN17" s="84"/>
      <c r="AO17" s="84"/>
      <c r="AP17" s="84"/>
      <c r="AQ17" s="84"/>
      <c r="AR17" s="84"/>
    </row>
    <row r="18" spans="1:44" ht="13.2">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row>
    <row r="19" spans="1:44" ht="13.2">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row>
    <row r="20" spans="1:44" ht="13.2">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row>
    <row r="21" spans="1:44" ht="13.2">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row>
    <row r="22" spans="1:44" ht="13.2">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row>
    <row r="23" spans="1:44" ht="13.2">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row>
    <row r="24" spans="1:44" ht="13.2">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row>
    <row r="25" spans="1:44" ht="13.2">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row>
    <row r="26" spans="1:44" ht="13.2">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row>
    <row r="27" spans="1:44" ht="13.2">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row>
    <row r="28" spans="1:44" ht="13.2">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row>
    <row r="29" spans="1:44" ht="13.2">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row>
    <row r="30" spans="1:44" ht="13.2">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row>
    <row r="31" spans="1:44" ht="13.2">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row>
    <row r="32" spans="1:44" ht="1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row>
    <row r="33" spans="1:44" ht="13.2">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row>
    <row r="34" spans="1:44" ht="13.2">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row>
    <row r="35" spans="1:44" ht="13.2">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row>
    <row r="36" spans="1:44" ht="13.2">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row>
    <row r="37" spans="1:44" ht="13.2">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row>
    <row r="38" spans="1:44" ht="13.2">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row>
    <row r="39" spans="1:44" ht="13.2">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row>
    <row r="40" spans="1:44" ht="13.2">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row>
    <row r="41" spans="1:44" ht="13.2">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row>
    <row r="42" spans="1:44" ht="13.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row>
    <row r="43" spans="1:44" ht="13.2">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row>
    <row r="44" spans="1:44" ht="13.2">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row>
    <row r="45" spans="1:44" ht="13.2">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row>
    <row r="46" spans="1:44" ht="13.2">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row>
    <row r="47" spans="1:44" ht="13.2">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row>
    <row r="48" spans="1:44" ht="13.2">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row>
    <row r="49" spans="1:44" ht="13.2">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row>
    <row r="50" spans="1:44" ht="13.2">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row>
    <row r="51" spans="1:44" ht="13.2">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row>
    <row r="52" spans="1:44" ht="13.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row>
    <row r="53" spans="1:44" ht="13.2">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row>
    <row r="54" spans="1:44" ht="13.2">
      <c r="A54" s="84"/>
      <c r="B54" s="84"/>
      <c r="C54" s="84"/>
      <c r="D54" s="84"/>
      <c r="E54" s="84"/>
      <c r="F54" s="85"/>
      <c r="G54" s="85"/>
      <c r="H54" s="84"/>
      <c r="I54" s="84"/>
      <c r="J54" s="84"/>
      <c r="K54" s="84"/>
      <c r="L54" s="84"/>
      <c r="M54" s="85"/>
      <c r="N54" s="148"/>
      <c r="O54" s="85"/>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row>
    <row r="55" spans="1:44" ht="13.2">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row>
    <row r="56" spans="1:44" ht="13.2">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row>
    <row r="57" spans="1:44" ht="13.2">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row>
    <row r="58" spans="1:44" ht="13.2">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row>
    <row r="59" spans="1:44" ht="13.2">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row>
    <row r="60" spans="1:44" ht="13.2">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row>
    <row r="61" spans="1:44" ht="13.2">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row>
    <row r="62" spans="1:44" ht="13.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row>
    <row r="63" spans="1:44" ht="13.2">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row>
    <row r="64" spans="1:44" ht="13.2">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row>
    <row r="65" spans="1:44" ht="13.2">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row>
    <row r="66" spans="1:44" ht="13.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row>
    <row r="67" spans="1:44" ht="13.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row>
    <row r="68" spans="1:44" ht="13.2">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row>
    <row r="69" spans="1:44" ht="13.2">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row>
    <row r="70" spans="1:44" ht="13.2">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row>
    <row r="71" spans="1:44" ht="13.2">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row>
    <row r="72" spans="1:44" ht="13.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row>
    <row r="73" spans="1:44" ht="13.2">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row>
    <row r="74" spans="1:44" ht="13.2">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row>
    <row r="75" spans="1:44" ht="13.2">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row>
    <row r="76" spans="1:44" ht="13.2">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row>
    <row r="77" spans="1:44" ht="13.2">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row>
    <row r="78" spans="1:44" ht="13.2">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row>
    <row r="79" spans="1:44" ht="13.2">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row>
    <row r="80" spans="1:44" ht="13.2">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row>
    <row r="81" spans="1:44" ht="13.2">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row>
    <row r="82" spans="1:44" ht="13.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row>
    <row r="83" spans="1:44" ht="13.2">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row>
    <row r="84" spans="1:44" ht="13.2">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row>
    <row r="85" spans="1:44" ht="13.2">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row>
    <row r="86" spans="1:44" ht="13.2">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row>
    <row r="87" spans="1:44" ht="13.2">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row>
    <row r="88" spans="1:44" ht="13.2">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row>
    <row r="89" spans="1:44" ht="13.2">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row>
    <row r="90" spans="1:44" ht="13.2">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row>
    <row r="91" spans="1:44" ht="13.2">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row>
    <row r="92" spans="1:44" ht="13.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row>
    <row r="93" spans="1:44" ht="13.2">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row>
    <row r="94" spans="1:44" ht="13.2">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row>
    <row r="95" spans="1:44" ht="13.2">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row>
    <row r="96" spans="1:44" ht="13.2">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row>
    <row r="97" spans="1:44" ht="13.2">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row>
    <row r="98" spans="1:44" ht="13.2">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row>
    <row r="99" spans="1:44" ht="13.2">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row>
    <row r="100" spans="1:44" ht="13.2">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row>
    <row r="101" spans="1:44" ht="13.2">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row>
    <row r="102" spans="1:44" ht="13.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row>
    <row r="103" spans="1:44" ht="13.2">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row>
    <row r="104" spans="1:44" ht="13.2">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row>
    <row r="105" spans="1:44" ht="13.2">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row>
    <row r="106" spans="1:44" ht="13.2">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row>
    <row r="107" spans="1:44" ht="13.2">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row>
    <row r="108" spans="1:44" ht="13.2">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row>
    <row r="109" spans="1:44" ht="13.2">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row>
    <row r="110" spans="1:44" ht="13.2">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row>
    <row r="111" spans="1:44" ht="13.2">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row>
    <row r="112" spans="1:44" ht="13.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row>
    <row r="113" spans="1:44" ht="13.2">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row>
    <row r="114" spans="1:44" ht="13.2">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row>
    <row r="115" spans="1:44" ht="13.2">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row>
    <row r="116" spans="1:44" ht="13.2">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row>
    <row r="117" spans="1:44" ht="13.2">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row>
    <row r="118" spans="1:44" ht="13.2">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row>
    <row r="119" spans="1:44" ht="13.2">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row>
    <row r="120" spans="1:44" ht="13.2">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row>
    <row r="121" spans="1:44" ht="13.2">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row>
    <row r="122" spans="1:44" ht="13.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row>
    <row r="123" spans="1:44" ht="13.2">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c r="AP123" s="84"/>
      <c r="AQ123" s="84"/>
      <c r="AR123" s="84"/>
    </row>
    <row r="124" spans="1:44" ht="13.2">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row>
    <row r="125" spans="1:44" ht="13.2">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row>
    <row r="126" spans="1:44" ht="13.2">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row>
    <row r="127" spans="1:44" ht="13.2">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row>
    <row r="128" spans="1:44" ht="13.2">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row>
    <row r="129" spans="1:44" ht="13.2">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row>
    <row r="130" spans="1:44" ht="13.2">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row>
    <row r="131" spans="1:44" ht="13.2">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row>
    <row r="132" spans="1:44" ht="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row>
    <row r="133" spans="1:44" ht="13.2">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row>
    <row r="134" spans="1:44" ht="13.2">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row>
    <row r="135" spans="1:44" ht="13.2">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row>
    <row r="136" spans="1:44" ht="13.2">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row>
    <row r="137" spans="1:44" ht="13.2">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row>
    <row r="138" spans="1:44" ht="13.2">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row>
    <row r="139" spans="1:44" ht="13.2">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row>
    <row r="140" spans="1:44" ht="13.2">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c r="AN140" s="84"/>
      <c r="AO140" s="84"/>
      <c r="AP140" s="84"/>
      <c r="AQ140" s="84"/>
      <c r="AR140" s="84"/>
    </row>
    <row r="141" spans="1:44" ht="13.2">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c r="AO141" s="84"/>
      <c r="AP141" s="84"/>
      <c r="AQ141" s="84"/>
      <c r="AR141" s="84"/>
    </row>
    <row r="142" spans="1:44" ht="13.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c r="AN142" s="84"/>
      <c r="AO142" s="84"/>
      <c r="AP142" s="84"/>
      <c r="AQ142" s="84"/>
      <c r="AR142" s="84"/>
    </row>
    <row r="143" spans="1:44" ht="13.2">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row>
    <row r="144" spans="1:44" ht="13.2">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c r="AP144" s="84"/>
      <c r="AQ144" s="84"/>
      <c r="AR144" s="84"/>
    </row>
    <row r="145" spans="1:44" ht="13.2">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row>
    <row r="146" spans="1:44" ht="13.2">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c r="AP146" s="84"/>
      <c r="AQ146" s="84"/>
      <c r="AR146" s="84"/>
    </row>
    <row r="147" spans="1:44" ht="13.2">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row>
    <row r="148" spans="1:44" ht="13.2">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c r="AP148" s="84"/>
      <c r="AQ148" s="84"/>
      <c r="AR148" s="84"/>
    </row>
    <row r="149" spans="1:44" ht="13.2">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c r="AN149" s="84"/>
      <c r="AO149" s="84"/>
      <c r="AP149" s="84"/>
      <c r="AQ149" s="84"/>
      <c r="AR149" s="84"/>
    </row>
    <row r="150" spans="1:44" ht="13.2">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row>
    <row r="151" spans="1:44" ht="13.2">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row>
    <row r="152" spans="1:44" ht="13.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c r="AP152" s="84"/>
      <c r="AQ152" s="84"/>
      <c r="AR152" s="84"/>
    </row>
    <row r="153" spans="1:44" ht="13.2">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row>
    <row r="154" spans="1:44" ht="13.2">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c r="AP154" s="84"/>
      <c r="AQ154" s="84"/>
      <c r="AR154" s="84"/>
    </row>
    <row r="155" spans="1:44" ht="13.2">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row>
    <row r="156" spans="1:44" ht="13.2">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row>
    <row r="157" spans="1:44" ht="13.2">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row>
    <row r="158" spans="1:44" ht="13.2">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c r="AP158" s="84"/>
      <c r="AQ158" s="84"/>
      <c r="AR158" s="84"/>
    </row>
    <row r="159" spans="1:44" ht="13.2">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row>
    <row r="160" spans="1:44" ht="13.2">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row>
    <row r="161" spans="1:44" ht="13.2">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c r="AP161" s="84"/>
      <c r="AQ161" s="84"/>
      <c r="AR161" s="84"/>
    </row>
    <row r="162" spans="1:44" ht="13.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c r="AN162" s="84"/>
      <c r="AO162" s="84"/>
      <c r="AP162" s="84"/>
      <c r="AQ162" s="84"/>
      <c r="AR162" s="84"/>
    </row>
    <row r="163" spans="1:44" ht="13.2">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c r="AP163" s="84"/>
      <c r="AQ163" s="84"/>
      <c r="AR163" s="84"/>
    </row>
    <row r="164" spans="1:44" ht="13.2">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row>
    <row r="165" spans="1:44" ht="13.2">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84"/>
      <c r="AP165" s="84"/>
      <c r="AQ165" s="84"/>
      <c r="AR165" s="84"/>
    </row>
    <row r="166" spans="1:44" ht="13.2">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row>
    <row r="167" spans="1:44" ht="13.2">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row>
    <row r="168" spans="1:44" ht="13.2">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row>
    <row r="169" spans="1:44" ht="13.2">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row>
    <row r="170" spans="1:44" ht="13.2">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row>
    <row r="171" spans="1:44" ht="13.2">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row>
    <row r="172" spans="1:44" ht="13.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row>
    <row r="173" spans="1:44" ht="13.2">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row>
    <row r="174" spans="1:44" ht="13.2">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c r="AN174" s="84"/>
      <c r="AO174" s="84"/>
      <c r="AP174" s="84"/>
      <c r="AQ174" s="84"/>
      <c r="AR174" s="84"/>
    </row>
    <row r="175" spans="1:44" ht="13.2">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c r="AP175" s="84"/>
      <c r="AQ175" s="84"/>
      <c r="AR175" s="84"/>
    </row>
    <row r="176" spans="1:44" ht="13.2">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c r="AN176" s="84"/>
      <c r="AO176" s="84"/>
      <c r="AP176" s="84"/>
      <c r="AQ176" s="84"/>
      <c r="AR176" s="84"/>
    </row>
    <row r="177" spans="1:44" ht="13.2">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row>
    <row r="178" spans="1:44" ht="13.2">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row>
    <row r="179" spans="1:44" ht="13.2">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row>
    <row r="180" spans="1:44" ht="13.2">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row>
    <row r="181" spans="1:44" ht="13.2">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row>
    <row r="182" spans="1:44" ht="13.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row>
    <row r="183" spans="1:44" ht="13.2">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row>
    <row r="184" spans="1:44" ht="13.2">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row>
    <row r="185" spans="1:44" ht="13.2">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c r="AP185" s="84"/>
      <c r="AQ185" s="84"/>
      <c r="AR185" s="84"/>
    </row>
    <row r="186" spans="1:44" ht="13.2">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row>
    <row r="187" spans="1:44" ht="13.2">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row>
    <row r="188" spans="1:44" ht="13.2">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c r="AN188" s="84"/>
      <c r="AO188" s="84"/>
      <c r="AP188" s="84"/>
      <c r="AQ188" s="84"/>
      <c r="AR188" s="84"/>
    </row>
    <row r="189" spans="1:44" ht="13.2">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row>
    <row r="190" spans="1:44" ht="13.2">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row>
    <row r="191" spans="1:44" ht="13.2">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row>
    <row r="192" spans="1:44" ht="13.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row>
    <row r="193" spans="1:44" ht="13.2">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row>
    <row r="194" spans="1:44" ht="13.2">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row>
    <row r="195" spans="1:44" ht="13.2">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row>
    <row r="196" spans="1:44" ht="13.2">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row>
    <row r="197" spans="1:44" ht="13.2">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row>
    <row r="198" spans="1:44" ht="13.2">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row>
    <row r="199" spans="1:44" ht="13.2">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row>
    <row r="200" spans="1:44" ht="13.2">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row>
    <row r="201" spans="1:44" ht="13.2">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row>
    <row r="202" spans="1:44" ht="13.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c r="AL202" s="84"/>
      <c r="AM202" s="84"/>
      <c r="AN202" s="84"/>
      <c r="AO202" s="84"/>
      <c r="AP202" s="84"/>
      <c r="AQ202" s="84"/>
      <c r="AR202" s="84"/>
    </row>
    <row r="203" spans="1:44" ht="13.2">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row>
    <row r="204" spans="1:44" ht="13.2">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c r="AN204" s="84"/>
      <c r="AO204" s="84"/>
      <c r="AP204" s="84"/>
      <c r="AQ204" s="84"/>
      <c r="AR204" s="84"/>
    </row>
    <row r="205" spans="1:44" ht="13.2">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c r="AN205" s="84"/>
      <c r="AO205" s="84"/>
      <c r="AP205" s="84"/>
      <c r="AQ205" s="84"/>
      <c r="AR205" s="84"/>
    </row>
    <row r="206" spans="1:44" ht="13.2">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c r="AN206" s="84"/>
      <c r="AO206" s="84"/>
      <c r="AP206" s="84"/>
      <c r="AQ206" s="84"/>
      <c r="AR206" s="84"/>
    </row>
    <row r="207" spans="1:44" ht="13.2">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row>
    <row r="208" spans="1:44" ht="13.2">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c r="AN208" s="84"/>
      <c r="AO208" s="84"/>
      <c r="AP208" s="84"/>
      <c r="AQ208" s="84"/>
      <c r="AR208" s="84"/>
    </row>
    <row r="209" spans="1:44" ht="13.2">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row>
    <row r="210" spans="1:44" ht="13.2">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row>
    <row r="211" spans="1:44" ht="13.2">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c r="AL211" s="84"/>
      <c r="AM211" s="84"/>
      <c r="AN211" s="84"/>
      <c r="AO211" s="84"/>
      <c r="AP211" s="84"/>
      <c r="AQ211" s="84"/>
      <c r="AR211" s="84"/>
    </row>
    <row r="212" spans="1:44" ht="13.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c r="AL212" s="84"/>
      <c r="AM212" s="84"/>
      <c r="AN212" s="84"/>
      <c r="AO212" s="84"/>
      <c r="AP212" s="84"/>
      <c r="AQ212" s="84"/>
      <c r="AR212" s="84"/>
    </row>
    <row r="213" spans="1:44" ht="13.2">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c r="AN213" s="84"/>
      <c r="AO213" s="84"/>
      <c r="AP213" s="84"/>
      <c r="AQ213" s="84"/>
      <c r="AR213" s="84"/>
    </row>
    <row r="214" spans="1:44" ht="13.2">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c r="AL214" s="84"/>
      <c r="AM214" s="84"/>
      <c r="AN214" s="84"/>
      <c r="AO214" s="84"/>
      <c r="AP214" s="84"/>
      <c r="AQ214" s="84"/>
      <c r="AR214" s="84"/>
    </row>
    <row r="215" spans="1:44" ht="13.2">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84"/>
      <c r="AP215" s="84"/>
      <c r="AQ215" s="84"/>
      <c r="AR215" s="84"/>
    </row>
    <row r="216" spans="1:44" ht="13.2">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c r="AN216" s="84"/>
      <c r="AO216" s="84"/>
      <c r="AP216" s="84"/>
      <c r="AQ216" s="84"/>
      <c r="AR216" s="84"/>
    </row>
    <row r="217" spans="1:44" ht="13.2">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c r="AN217" s="84"/>
      <c r="AO217" s="84"/>
      <c r="AP217" s="84"/>
      <c r="AQ217" s="84"/>
      <c r="AR217" s="84"/>
    </row>
    <row r="218" spans="1:44" ht="13.2">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row>
    <row r="219" spans="1:44" ht="13.2">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c r="AN219" s="84"/>
      <c r="AO219" s="84"/>
      <c r="AP219" s="84"/>
      <c r="AQ219" s="84"/>
      <c r="AR219" s="84"/>
    </row>
    <row r="220" spans="1:44" ht="13.2">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c r="AN220" s="84"/>
      <c r="AO220" s="84"/>
      <c r="AP220" s="84"/>
      <c r="AQ220" s="84"/>
      <c r="AR220" s="84"/>
    </row>
    <row r="221" spans="1:44" ht="13.2">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c r="AL221" s="84"/>
      <c r="AM221" s="84"/>
      <c r="AN221" s="84"/>
      <c r="AO221" s="84"/>
      <c r="AP221" s="84"/>
      <c r="AQ221" s="84"/>
      <c r="AR221" s="84"/>
    </row>
    <row r="222" spans="1:44" ht="13.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c r="AL222" s="84"/>
      <c r="AM222" s="84"/>
      <c r="AN222" s="84"/>
      <c r="AO222" s="84"/>
      <c r="AP222" s="84"/>
      <c r="AQ222" s="84"/>
      <c r="AR222" s="84"/>
    </row>
    <row r="223" spans="1:44" ht="13.2">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84"/>
      <c r="AP223" s="84"/>
      <c r="AQ223" s="84"/>
      <c r="AR223" s="84"/>
    </row>
    <row r="224" spans="1:44" ht="13.2">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c r="AL224" s="84"/>
      <c r="AM224" s="84"/>
      <c r="AN224" s="84"/>
      <c r="AO224" s="84"/>
      <c r="AP224" s="84"/>
      <c r="AQ224" s="84"/>
      <c r="AR224" s="84"/>
    </row>
    <row r="225" spans="1:44" ht="13.2">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c r="AL225" s="84"/>
      <c r="AM225" s="84"/>
      <c r="AN225" s="84"/>
      <c r="AO225" s="84"/>
      <c r="AP225" s="84"/>
      <c r="AQ225" s="84"/>
      <c r="AR225" s="84"/>
    </row>
    <row r="226" spans="1:44" ht="13.2">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c r="AL226" s="84"/>
      <c r="AM226" s="84"/>
      <c r="AN226" s="84"/>
      <c r="AO226" s="84"/>
      <c r="AP226" s="84"/>
      <c r="AQ226" s="84"/>
      <c r="AR226" s="84"/>
    </row>
    <row r="227" spans="1:44" ht="13.2">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c r="AN227" s="84"/>
      <c r="AO227" s="84"/>
      <c r="AP227" s="84"/>
      <c r="AQ227" s="84"/>
      <c r="AR227" s="84"/>
    </row>
    <row r="228" spans="1:44" ht="13.2">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4"/>
      <c r="AM228" s="84"/>
      <c r="AN228" s="84"/>
      <c r="AO228" s="84"/>
      <c r="AP228" s="84"/>
      <c r="AQ228" s="84"/>
      <c r="AR228" s="84"/>
    </row>
    <row r="229" spans="1:44" ht="13.2">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c r="AN229" s="84"/>
      <c r="AO229" s="84"/>
      <c r="AP229" s="84"/>
      <c r="AQ229" s="84"/>
      <c r="AR229" s="84"/>
    </row>
    <row r="230" spans="1:44" ht="13.2">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c r="AL230" s="84"/>
      <c r="AM230" s="84"/>
      <c r="AN230" s="84"/>
      <c r="AO230" s="84"/>
      <c r="AP230" s="84"/>
      <c r="AQ230" s="84"/>
      <c r="AR230" s="84"/>
    </row>
    <row r="231" spans="1:44" ht="13.2">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c r="AL231" s="84"/>
      <c r="AM231" s="84"/>
      <c r="AN231" s="84"/>
      <c r="AO231" s="84"/>
      <c r="AP231" s="84"/>
      <c r="AQ231" s="84"/>
      <c r="AR231" s="84"/>
    </row>
    <row r="232" spans="1:44" ht="1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c r="AN232" s="84"/>
      <c r="AO232" s="84"/>
      <c r="AP232" s="84"/>
      <c r="AQ232" s="84"/>
      <c r="AR232" s="84"/>
    </row>
    <row r="233" spans="1:44" ht="13.2">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c r="AN233" s="84"/>
      <c r="AO233" s="84"/>
      <c r="AP233" s="84"/>
      <c r="AQ233" s="84"/>
      <c r="AR233" s="84"/>
    </row>
    <row r="234" spans="1:44" ht="13.2">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c r="AN234" s="84"/>
      <c r="AO234" s="84"/>
      <c r="AP234" s="84"/>
      <c r="AQ234" s="84"/>
      <c r="AR234" s="84"/>
    </row>
    <row r="235" spans="1:44" ht="13.2">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c r="AL235" s="84"/>
      <c r="AM235" s="84"/>
      <c r="AN235" s="84"/>
      <c r="AO235" s="84"/>
      <c r="AP235" s="84"/>
      <c r="AQ235" s="84"/>
      <c r="AR235" s="84"/>
    </row>
    <row r="236" spans="1:44" ht="13.2">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c r="AL236" s="84"/>
      <c r="AM236" s="84"/>
      <c r="AN236" s="84"/>
      <c r="AO236" s="84"/>
      <c r="AP236" s="84"/>
      <c r="AQ236" s="84"/>
      <c r="AR236" s="84"/>
    </row>
    <row r="237" spans="1:44" ht="13.2">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c r="AL237" s="84"/>
      <c r="AM237" s="84"/>
      <c r="AN237" s="84"/>
      <c r="AO237" s="84"/>
      <c r="AP237" s="84"/>
      <c r="AQ237" s="84"/>
      <c r="AR237" s="84"/>
    </row>
    <row r="238" spans="1:44" ht="13.2">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c r="AN238" s="84"/>
      <c r="AO238" s="84"/>
      <c r="AP238" s="84"/>
      <c r="AQ238" s="84"/>
      <c r="AR238" s="84"/>
    </row>
    <row r="239" spans="1:44" ht="13.2">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c r="AN239" s="84"/>
      <c r="AO239" s="84"/>
      <c r="AP239" s="84"/>
      <c r="AQ239" s="84"/>
      <c r="AR239" s="84"/>
    </row>
    <row r="240" spans="1:44" ht="13.2">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c r="AL240" s="84"/>
      <c r="AM240" s="84"/>
      <c r="AN240" s="84"/>
      <c r="AO240" s="84"/>
      <c r="AP240" s="84"/>
      <c r="AQ240" s="84"/>
      <c r="AR240" s="84"/>
    </row>
    <row r="241" spans="1:44" ht="13.2">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c r="AL241" s="84"/>
      <c r="AM241" s="84"/>
      <c r="AN241" s="84"/>
      <c r="AO241" s="84"/>
      <c r="AP241" s="84"/>
      <c r="AQ241" s="84"/>
      <c r="AR241" s="84"/>
    </row>
    <row r="242" spans="1:44" ht="13.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c r="AL242" s="84"/>
      <c r="AM242" s="84"/>
      <c r="AN242" s="84"/>
      <c r="AO242" s="84"/>
      <c r="AP242" s="84"/>
      <c r="AQ242" s="84"/>
      <c r="AR242" s="84"/>
    </row>
    <row r="243" spans="1:44" ht="13.2">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c r="AL243" s="84"/>
      <c r="AM243" s="84"/>
      <c r="AN243" s="84"/>
      <c r="AO243" s="84"/>
      <c r="AP243" s="84"/>
      <c r="AQ243" s="84"/>
      <c r="AR243" s="84"/>
    </row>
    <row r="244" spans="1:44" ht="13.2">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c r="AN244" s="84"/>
      <c r="AO244" s="84"/>
      <c r="AP244" s="84"/>
      <c r="AQ244" s="84"/>
      <c r="AR244" s="84"/>
    </row>
    <row r="245" spans="1:44" ht="13.2">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c r="AN245" s="84"/>
      <c r="AO245" s="84"/>
      <c r="AP245" s="84"/>
      <c r="AQ245" s="84"/>
      <c r="AR245" s="84"/>
    </row>
    <row r="246" spans="1:44" ht="13.2">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c r="AN246" s="84"/>
      <c r="AO246" s="84"/>
      <c r="AP246" s="84"/>
      <c r="AQ246" s="84"/>
      <c r="AR246" s="84"/>
    </row>
    <row r="247" spans="1:44" ht="13.2">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c r="AN247" s="84"/>
      <c r="AO247" s="84"/>
      <c r="AP247" s="84"/>
      <c r="AQ247" s="84"/>
      <c r="AR247" s="84"/>
    </row>
    <row r="248" spans="1:44" ht="13.2">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c r="AN248" s="84"/>
      <c r="AO248" s="84"/>
      <c r="AP248" s="84"/>
      <c r="AQ248" s="84"/>
      <c r="AR248" s="84"/>
    </row>
    <row r="249" spans="1:44" ht="13.2">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c r="AN249" s="84"/>
      <c r="AO249" s="84"/>
      <c r="AP249" s="84"/>
      <c r="AQ249" s="84"/>
      <c r="AR249" s="84"/>
    </row>
    <row r="250" spans="1:44" ht="13.2">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c r="AN250" s="84"/>
      <c r="AO250" s="84"/>
      <c r="AP250" s="84"/>
      <c r="AQ250" s="84"/>
      <c r="AR250" s="84"/>
    </row>
    <row r="251" spans="1:44" ht="13.2">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c r="AL251" s="84"/>
      <c r="AM251" s="84"/>
      <c r="AN251" s="84"/>
      <c r="AO251" s="84"/>
      <c r="AP251" s="84"/>
      <c r="AQ251" s="84"/>
      <c r="AR251" s="84"/>
    </row>
    <row r="252" spans="1:44" ht="13.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row>
    <row r="253" spans="1:44" ht="13.2">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c r="AL253" s="84"/>
      <c r="AM253" s="84"/>
      <c r="AN253" s="84"/>
      <c r="AO253" s="84"/>
      <c r="AP253" s="84"/>
      <c r="AQ253" s="84"/>
      <c r="AR253" s="84"/>
    </row>
    <row r="254" spans="1:44" ht="13.2">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c r="AN254" s="84"/>
      <c r="AO254" s="84"/>
      <c r="AP254" s="84"/>
      <c r="AQ254" s="84"/>
      <c r="AR254" s="84"/>
    </row>
    <row r="255" spans="1:44" ht="13.2">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c r="AP255" s="84"/>
      <c r="AQ255" s="84"/>
      <c r="AR255" s="84"/>
    </row>
    <row r="256" spans="1:44" ht="13.2">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c r="AL256" s="84"/>
      <c r="AM256" s="84"/>
      <c r="AN256" s="84"/>
      <c r="AO256" s="84"/>
      <c r="AP256" s="84"/>
      <c r="AQ256" s="84"/>
      <c r="AR256" s="84"/>
    </row>
    <row r="257" spans="1:44" ht="13.2">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c r="AL257" s="84"/>
      <c r="AM257" s="84"/>
      <c r="AN257" s="84"/>
      <c r="AO257" s="84"/>
      <c r="AP257" s="84"/>
      <c r="AQ257" s="84"/>
      <c r="AR257" s="84"/>
    </row>
    <row r="258" spans="1:44" ht="13.2">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c r="AL258" s="84"/>
      <c r="AM258" s="84"/>
      <c r="AN258" s="84"/>
      <c r="AO258" s="84"/>
      <c r="AP258" s="84"/>
      <c r="AQ258" s="84"/>
      <c r="AR258" s="84"/>
    </row>
    <row r="259" spans="1:44" ht="13.2">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c r="AL259" s="84"/>
      <c r="AM259" s="84"/>
      <c r="AN259" s="84"/>
      <c r="AO259" s="84"/>
      <c r="AP259" s="84"/>
      <c r="AQ259" s="84"/>
      <c r="AR259" s="84"/>
    </row>
    <row r="260" spans="1:44" ht="13.2">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c r="AL260" s="84"/>
      <c r="AM260" s="84"/>
      <c r="AN260" s="84"/>
      <c r="AO260" s="84"/>
      <c r="AP260" s="84"/>
      <c r="AQ260" s="84"/>
      <c r="AR260" s="84"/>
    </row>
    <row r="261" spans="1:44" ht="13.2">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c r="AN261" s="84"/>
      <c r="AO261" s="84"/>
      <c r="AP261" s="84"/>
      <c r="AQ261" s="84"/>
      <c r="AR261" s="84"/>
    </row>
    <row r="262" spans="1:44" ht="13.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c r="AL262" s="84"/>
      <c r="AM262" s="84"/>
      <c r="AN262" s="84"/>
      <c r="AO262" s="84"/>
      <c r="AP262" s="84"/>
      <c r="AQ262" s="84"/>
      <c r="AR262" s="84"/>
    </row>
    <row r="263" spans="1:44" ht="13.2">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c r="AL263" s="84"/>
      <c r="AM263" s="84"/>
      <c r="AN263" s="84"/>
      <c r="AO263" s="84"/>
      <c r="AP263" s="84"/>
      <c r="AQ263" s="84"/>
      <c r="AR263" s="84"/>
    </row>
    <row r="264" spans="1:44" ht="13.2">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4"/>
      <c r="AM264" s="84"/>
      <c r="AN264" s="84"/>
      <c r="AO264" s="84"/>
      <c r="AP264" s="84"/>
      <c r="AQ264" s="84"/>
      <c r="AR264" s="84"/>
    </row>
    <row r="265" spans="1:44" ht="13.2">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c r="AL265" s="84"/>
      <c r="AM265" s="84"/>
      <c r="AN265" s="84"/>
      <c r="AO265" s="84"/>
      <c r="AP265" s="84"/>
      <c r="AQ265" s="84"/>
      <c r="AR265" s="84"/>
    </row>
    <row r="266" spans="1:44" ht="13.2">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c r="AL266" s="84"/>
      <c r="AM266" s="84"/>
      <c r="AN266" s="84"/>
      <c r="AO266" s="84"/>
      <c r="AP266" s="84"/>
      <c r="AQ266" s="84"/>
      <c r="AR266" s="84"/>
    </row>
    <row r="267" spans="1:44" ht="13.2">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c r="AN267" s="84"/>
      <c r="AO267" s="84"/>
      <c r="AP267" s="84"/>
      <c r="AQ267" s="84"/>
      <c r="AR267" s="84"/>
    </row>
    <row r="268" spans="1:44" ht="13.2">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c r="AN268" s="84"/>
      <c r="AO268" s="84"/>
      <c r="AP268" s="84"/>
      <c r="AQ268" s="84"/>
      <c r="AR268" s="84"/>
    </row>
    <row r="269" spans="1:44" ht="13.2">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c r="AN269" s="84"/>
      <c r="AO269" s="84"/>
      <c r="AP269" s="84"/>
      <c r="AQ269" s="84"/>
      <c r="AR269" s="84"/>
    </row>
    <row r="270" spans="1:44" ht="13.2">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c r="AL270" s="84"/>
      <c r="AM270" s="84"/>
      <c r="AN270" s="84"/>
      <c r="AO270" s="84"/>
      <c r="AP270" s="84"/>
      <c r="AQ270" s="84"/>
      <c r="AR270" s="84"/>
    </row>
    <row r="271" spans="1:44" ht="13.2">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c r="AL271" s="84"/>
      <c r="AM271" s="84"/>
      <c r="AN271" s="84"/>
      <c r="AO271" s="84"/>
      <c r="AP271" s="84"/>
      <c r="AQ271" s="84"/>
      <c r="AR271" s="84"/>
    </row>
    <row r="272" spans="1:44" ht="13.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c r="AL272" s="84"/>
      <c r="AM272" s="84"/>
      <c r="AN272" s="84"/>
      <c r="AO272" s="84"/>
      <c r="AP272" s="84"/>
      <c r="AQ272" s="84"/>
      <c r="AR272" s="84"/>
    </row>
    <row r="273" spans="1:44" ht="13.2">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c r="AL273" s="84"/>
      <c r="AM273" s="84"/>
      <c r="AN273" s="84"/>
      <c r="AO273" s="84"/>
      <c r="AP273" s="84"/>
      <c r="AQ273" s="84"/>
      <c r="AR273" s="84"/>
    </row>
    <row r="274" spans="1:44" ht="13.2">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c r="AN274" s="84"/>
      <c r="AO274" s="84"/>
      <c r="AP274" s="84"/>
      <c r="AQ274" s="84"/>
      <c r="AR274" s="84"/>
    </row>
    <row r="275" spans="1:44" ht="13.2">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c r="AL275" s="84"/>
      <c r="AM275" s="84"/>
      <c r="AN275" s="84"/>
      <c r="AO275" s="84"/>
      <c r="AP275" s="84"/>
      <c r="AQ275" s="84"/>
      <c r="AR275" s="84"/>
    </row>
    <row r="276" spans="1:44" ht="13.2">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c r="AL276" s="84"/>
      <c r="AM276" s="84"/>
      <c r="AN276" s="84"/>
      <c r="AO276" s="84"/>
      <c r="AP276" s="84"/>
      <c r="AQ276" s="84"/>
      <c r="AR276" s="84"/>
    </row>
    <row r="277" spans="1:44" ht="13.2">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c r="AP277" s="84"/>
      <c r="AQ277" s="84"/>
      <c r="AR277" s="84"/>
    </row>
    <row r="278" spans="1:44" ht="13.2">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c r="AL278" s="84"/>
      <c r="AM278" s="84"/>
      <c r="AN278" s="84"/>
      <c r="AO278" s="84"/>
      <c r="AP278" s="84"/>
      <c r="AQ278" s="84"/>
      <c r="AR278" s="84"/>
    </row>
    <row r="279" spans="1:44" ht="13.2">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c r="AL279" s="84"/>
      <c r="AM279" s="84"/>
      <c r="AN279" s="84"/>
      <c r="AO279" s="84"/>
      <c r="AP279" s="84"/>
      <c r="AQ279" s="84"/>
      <c r="AR279" s="84"/>
    </row>
    <row r="280" spans="1:44" ht="13.2">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c r="AL280" s="84"/>
      <c r="AM280" s="84"/>
      <c r="AN280" s="84"/>
      <c r="AO280" s="84"/>
      <c r="AP280" s="84"/>
      <c r="AQ280" s="84"/>
      <c r="AR280" s="84"/>
    </row>
    <row r="281" spans="1:44" ht="13.2">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c r="AL281" s="84"/>
      <c r="AM281" s="84"/>
      <c r="AN281" s="84"/>
      <c r="AO281" s="84"/>
      <c r="AP281" s="84"/>
      <c r="AQ281" s="84"/>
      <c r="AR281" s="84"/>
    </row>
    <row r="282" spans="1:44" ht="13.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c r="AN282" s="84"/>
      <c r="AO282" s="84"/>
      <c r="AP282" s="84"/>
      <c r="AQ282" s="84"/>
      <c r="AR282" s="84"/>
    </row>
    <row r="283" spans="1:44" ht="13.2">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c r="AN283" s="84"/>
      <c r="AO283" s="84"/>
      <c r="AP283" s="84"/>
      <c r="AQ283" s="84"/>
      <c r="AR283" s="84"/>
    </row>
    <row r="284" spans="1:44" ht="13.2">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c r="AP284" s="84"/>
      <c r="AQ284" s="84"/>
      <c r="AR284" s="84"/>
    </row>
    <row r="285" spans="1:44" ht="13.2">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c r="AN285" s="84"/>
      <c r="AO285" s="84"/>
      <c r="AP285" s="84"/>
      <c r="AQ285" s="84"/>
      <c r="AR285" s="84"/>
    </row>
    <row r="286" spans="1:44" ht="13.2">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c r="AN286" s="84"/>
      <c r="AO286" s="84"/>
      <c r="AP286" s="84"/>
      <c r="AQ286" s="84"/>
      <c r="AR286" s="84"/>
    </row>
    <row r="287" spans="1:44" ht="13.2">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c r="AP287" s="84"/>
      <c r="AQ287" s="84"/>
      <c r="AR287" s="84"/>
    </row>
    <row r="288" spans="1:44" ht="13.2">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c r="AN288" s="84"/>
      <c r="AO288" s="84"/>
      <c r="AP288" s="84"/>
      <c r="AQ288" s="84"/>
      <c r="AR288" s="84"/>
    </row>
    <row r="289" spans="1:44" ht="13.2">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c r="AL289" s="84"/>
      <c r="AM289" s="84"/>
      <c r="AN289" s="84"/>
      <c r="AO289" s="84"/>
      <c r="AP289" s="84"/>
      <c r="AQ289" s="84"/>
      <c r="AR289" s="84"/>
    </row>
    <row r="290" spans="1:44" ht="13.2">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c r="AL290" s="84"/>
      <c r="AM290" s="84"/>
      <c r="AN290" s="84"/>
      <c r="AO290" s="84"/>
      <c r="AP290" s="84"/>
      <c r="AQ290" s="84"/>
      <c r="AR290" s="84"/>
    </row>
    <row r="291" spans="1:44" ht="13.2">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c r="AL291" s="84"/>
      <c r="AM291" s="84"/>
      <c r="AN291" s="84"/>
      <c r="AO291" s="84"/>
      <c r="AP291" s="84"/>
      <c r="AQ291" s="84"/>
      <c r="AR291" s="84"/>
    </row>
    <row r="292" spans="1:44" ht="13.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c r="AL292" s="84"/>
      <c r="AM292" s="84"/>
      <c r="AN292" s="84"/>
      <c r="AO292" s="84"/>
      <c r="AP292" s="84"/>
      <c r="AQ292" s="84"/>
      <c r="AR292" s="84"/>
    </row>
    <row r="293" spans="1:44" ht="13.2">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c r="AL293" s="84"/>
      <c r="AM293" s="84"/>
      <c r="AN293" s="84"/>
      <c r="AO293" s="84"/>
      <c r="AP293" s="84"/>
      <c r="AQ293" s="84"/>
      <c r="AR293" s="84"/>
    </row>
    <row r="294" spans="1:44" ht="13.2">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c r="AL294" s="84"/>
      <c r="AM294" s="84"/>
      <c r="AN294" s="84"/>
      <c r="AO294" s="84"/>
      <c r="AP294" s="84"/>
      <c r="AQ294" s="84"/>
      <c r="AR294" s="84"/>
    </row>
    <row r="295" spans="1:44" ht="13.2">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c r="AL295" s="84"/>
      <c r="AM295" s="84"/>
      <c r="AN295" s="84"/>
      <c r="AO295" s="84"/>
      <c r="AP295" s="84"/>
      <c r="AQ295" s="84"/>
      <c r="AR295" s="84"/>
    </row>
    <row r="296" spans="1:44" ht="13.2">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c r="AL296" s="84"/>
      <c r="AM296" s="84"/>
      <c r="AN296" s="84"/>
      <c r="AO296" s="84"/>
      <c r="AP296" s="84"/>
      <c r="AQ296" s="84"/>
      <c r="AR296" s="84"/>
    </row>
    <row r="297" spans="1:44" ht="13.2">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c r="AN297" s="84"/>
      <c r="AO297" s="84"/>
      <c r="AP297" s="84"/>
      <c r="AQ297" s="84"/>
      <c r="AR297" s="84"/>
    </row>
    <row r="298" spans="1:44" ht="13.2">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c r="AL298" s="84"/>
      <c r="AM298" s="84"/>
      <c r="AN298" s="84"/>
      <c r="AO298" s="84"/>
      <c r="AP298" s="84"/>
      <c r="AQ298" s="84"/>
      <c r="AR298" s="84"/>
    </row>
    <row r="299" spans="1:44" ht="13.2">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c r="AK299" s="84"/>
      <c r="AL299" s="84"/>
      <c r="AM299" s="84"/>
      <c r="AN299" s="84"/>
      <c r="AO299" s="84"/>
      <c r="AP299" s="84"/>
      <c r="AQ299" s="84"/>
      <c r="AR299" s="84"/>
    </row>
    <row r="300" spans="1:44" ht="13.2">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c r="AK300" s="84"/>
      <c r="AL300" s="84"/>
      <c r="AM300" s="84"/>
      <c r="AN300" s="84"/>
      <c r="AO300" s="84"/>
      <c r="AP300" s="84"/>
      <c r="AQ300" s="84"/>
      <c r="AR300" s="84"/>
    </row>
    <row r="301" spans="1:44" ht="13.2">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c r="AK301" s="84"/>
      <c r="AL301" s="84"/>
      <c r="AM301" s="84"/>
      <c r="AN301" s="84"/>
      <c r="AO301" s="84"/>
      <c r="AP301" s="84"/>
      <c r="AQ301" s="84"/>
      <c r="AR301" s="84"/>
    </row>
    <row r="302" spans="1:44" ht="13.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c r="AL302" s="84"/>
      <c r="AM302" s="84"/>
      <c r="AN302" s="84"/>
      <c r="AO302" s="84"/>
      <c r="AP302" s="84"/>
      <c r="AQ302" s="84"/>
      <c r="AR302" s="84"/>
    </row>
    <row r="303" spans="1:44" ht="13.2">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c r="AL303" s="84"/>
      <c r="AM303" s="84"/>
      <c r="AN303" s="84"/>
      <c r="AO303" s="84"/>
      <c r="AP303" s="84"/>
      <c r="AQ303" s="84"/>
      <c r="AR303" s="84"/>
    </row>
    <row r="304" spans="1:44" ht="13.2">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c r="AL304" s="84"/>
      <c r="AM304" s="84"/>
      <c r="AN304" s="84"/>
      <c r="AO304" s="84"/>
      <c r="AP304" s="84"/>
      <c r="AQ304" s="84"/>
      <c r="AR304" s="84"/>
    </row>
    <row r="305" spans="1:44" ht="13.2">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c r="AK305" s="84"/>
      <c r="AL305" s="84"/>
      <c r="AM305" s="84"/>
      <c r="AN305" s="84"/>
      <c r="AO305" s="84"/>
      <c r="AP305" s="84"/>
      <c r="AQ305" s="84"/>
      <c r="AR305" s="84"/>
    </row>
    <row r="306" spans="1:44" ht="13.2">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c r="AK306" s="84"/>
      <c r="AL306" s="84"/>
      <c r="AM306" s="84"/>
      <c r="AN306" s="84"/>
      <c r="AO306" s="84"/>
      <c r="AP306" s="84"/>
      <c r="AQ306" s="84"/>
      <c r="AR306" s="84"/>
    </row>
    <row r="307" spans="1:44" ht="13.2">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c r="AK307" s="84"/>
      <c r="AL307" s="84"/>
      <c r="AM307" s="84"/>
      <c r="AN307" s="84"/>
      <c r="AO307" s="84"/>
      <c r="AP307" s="84"/>
      <c r="AQ307" s="84"/>
      <c r="AR307" s="84"/>
    </row>
    <row r="308" spans="1:44" ht="13.2">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c r="AL308" s="84"/>
      <c r="AM308" s="84"/>
      <c r="AN308" s="84"/>
      <c r="AO308" s="84"/>
      <c r="AP308" s="84"/>
      <c r="AQ308" s="84"/>
      <c r="AR308" s="84"/>
    </row>
    <row r="309" spans="1:44" ht="13.2">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c r="AK309" s="84"/>
      <c r="AL309" s="84"/>
      <c r="AM309" s="84"/>
      <c r="AN309" s="84"/>
      <c r="AO309" s="84"/>
      <c r="AP309" s="84"/>
      <c r="AQ309" s="84"/>
      <c r="AR309" s="84"/>
    </row>
    <row r="310" spans="1:44" ht="13.2">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c r="AK310" s="84"/>
      <c r="AL310" s="84"/>
      <c r="AM310" s="84"/>
      <c r="AN310" s="84"/>
      <c r="AO310" s="84"/>
      <c r="AP310" s="84"/>
      <c r="AQ310" s="84"/>
      <c r="AR310" s="84"/>
    </row>
    <row r="311" spans="1:44" ht="13.2">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c r="AK311" s="84"/>
      <c r="AL311" s="84"/>
      <c r="AM311" s="84"/>
      <c r="AN311" s="84"/>
      <c r="AO311" s="84"/>
      <c r="AP311" s="84"/>
      <c r="AQ311" s="84"/>
      <c r="AR311" s="84"/>
    </row>
    <row r="312" spans="1:44" ht="13.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4"/>
      <c r="AM312" s="84"/>
      <c r="AN312" s="84"/>
      <c r="AO312" s="84"/>
      <c r="AP312" s="84"/>
      <c r="AQ312" s="84"/>
      <c r="AR312" s="84"/>
    </row>
    <row r="313" spans="1:44" ht="13.2">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c r="AK313" s="84"/>
      <c r="AL313" s="84"/>
      <c r="AM313" s="84"/>
      <c r="AN313" s="84"/>
      <c r="AO313" s="84"/>
      <c r="AP313" s="84"/>
      <c r="AQ313" s="84"/>
      <c r="AR313" s="84"/>
    </row>
    <row r="314" spans="1:44" ht="13.2">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c r="AK314" s="84"/>
      <c r="AL314" s="84"/>
      <c r="AM314" s="84"/>
      <c r="AN314" s="84"/>
      <c r="AO314" s="84"/>
      <c r="AP314" s="84"/>
      <c r="AQ314" s="84"/>
      <c r="AR314" s="84"/>
    </row>
    <row r="315" spans="1:44" ht="13.2">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c r="AL315" s="84"/>
      <c r="AM315" s="84"/>
      <c r="AN315" s="84"/>
      <c r="AO315" s="84"/>
      <c r="AP315" s="84"/>
      <c r="AQ315" s="84"/>
      <c r="AR315" s="84"/>
    </row>
    <row r="316" spans="1:44" ht="13.2">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4"/>
      <c r="AM316" s="84"/>
      <c r="AN316" s="84"/>
      <c r="AO316" s="84"/>
      <c r="AP316" s="84"/>
      <c r="AQ316" s="84"/>
      <c r="AR316" s="84"/>
    </row>
    <row r="317" spans="1:44" ht="13.2">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c r="AL317" s="84"/>
      <c r="AM317" s="84"/>
      <c r="AN317" s="84"/>
      <c r="AO317" s="84"/>
      <c r="AP317" s="84"/>
      <c r="AQ317" s="84"/>
      <c r="AR317" s="84"/>
    </row>
    <row r="318" spans="1:44" ht="13.2">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c r="AL318" s="84"/>
      <c r="AM318" s="84"/>
      <c r="AN318" s="84"/>
      <c r="AO318" s="84"/>
      <c r="AP318" s="84"/>
      <c r="AQ318" s="84"/>
      <c r="AR318" s="84"/>
    </row>
    <row r="319" spans="1:44" ht="13.2">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c r="AL319" s="84"/>
      <c r="AM319" s="84"/>
      <c r="AN319" s="84"/>
      <c r="AO319" s="84"/>
      <c r="AP319" s="84"/>
      <c r="AQ319" s="84"/>
      <c r="AR319" s="84"/>
    </row>
    <row r="320" spans="1:44" ht="13.2">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4"/>
      <c r="AM320" s="84"/>
      <c r="AN320" s="84"/>
      <c r="AO320" s="84"/>
      <c r="AP320" s="84"/>
      <c r="AQ320" s="84"/>
      <c r="AR320" s="84"/>
    </row>
    <row r="321" spans="1:44" ht="13.2">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c r="AL321" s="84"/>
      <c r="AM321" s="84"/>
      <c r="AN321" s="84"/>
      <c r="AO321" s="84"/>
      <c r="AP321" s="84"/>
      <c r="AQ321" s="84"/>
      <c r="AR321" s="84"/>
    </row>
    <row r="322" spans="1:44" ht="13.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c r="AN322" s="84"/>
      <c r="AO322" s="84"/>
      <c r="AP322" s="84"/>
      <c r="AQ322" s="84"/>
      <c r="AR322" s="84"/>
    </row>
    <row r="323" spans="1:44" ht="13.2">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c r="AL323" s="84"/>
      <c r="AM323" s="84"/>
      <c r="AN323" s="84"/>
      <c r="AO323" s="84"/>
      <c r="AP323" s="84"/>
      <c r="AQ323" s="84"/>
      <c r="AR323" s="84"/>
    </row>
    <row r="324" spans="1:44" ht="13.2">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c r="AN324" s="84"/>
      <c r="AO324" s="84"/>
      <c r="AP324" s="84"/>
      <c r="AQ324" s="84"/>
      <c r="AR324" s="84"/>
    </row>
    <row r="325" spans="1:44" ht="13.2">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c r="AL325" s="84"/>
      <c r="AM325" s="84"/>
      <c r="AN325" s="84"/>
      <c r="AO325" s="84"/>
      <c r="AP325" s="84"/>
      <c r="AQ325" s="84"/>
      <c r="AR325" s="84"/>
    </row>
    <row r="326" spans="1:44" ht="13.2">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c r="AL326" s="84"/>
      <c r="AM326" s="84"/>
      <c r="AN326" s="84"/>
      <c r="AO326" s="84"/>
      <c r="AP326" s="84"/>
      <c r="AQ326" s="84"/>
      <c r="AR326" s="84"/>
    </row>
    <row r="327" spans="1:44" ht="13.2">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c r="AN327" s="84"/>
      <c r="AO327" s="84"/>
      <c r="AP327" s="84"/>
      <c r="AQ327" s="84"/>
      <c r="AR327" s="84"/>
    </row>
    <row r="328" spans="1:44" ht="13.2">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c r="AL328" s="84"/>
      <c r="AM328" s="84"/>
      <c r="AN328" s="84"/>
      <c r="AO328" s="84"/>
      <c r="AP328" s="84"/>
      <c r="AQ328" s="84"/>
      <c r="AR328" s="84"/>
    </row>
    <row r="329" spans="1:44" ht="13.2">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c r="AK329" s="84"/>
      <c r="AL329" s="84"/>
      <c r="AM329" s="84"/>
      <c r="AN329" s="84"/>
      <c r="AO329" s="84"/>
      <c r="AP329" s="84"/>
      <c r="AQ329" s="84"/>
      <c r="AR329" s="84"/>
    </row>
    <row r="330" spans="1:44" ht="13.2">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c r="AK330" s="84"/>
      <c r="AL330" s="84"/>
      <c r="AM330" s="84"/>
      <c r="AN330" s="84"/>
      <c r="AO330" s="84"/>
      <c r="AP330" s="84"/>
      <c r="AQ330" s="84"/>
      <c r="AR330" s="84"/>
    </row>
    <row r="331" spans="1:44" ht="13.2">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c r="AL331" s="84"/>
      <c r="AM331" s="84"/>
      <c r="AN331" s="84"/>
      <c r="AO331" s="84"/>
      <c r="AP331" s="84"/>
      <c r="AQ331" s="84"/>
      <c r="AR331" s="84"/>
    </row>
    <row r="332" spans="1:44" ht="1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c r="AL332" s="84"/>
      <c r="AM332" s="84"/>
      <c r="AN332" s="84"/>
      <c r="AO332" s="84"/>
      <c r="AP332" s="84"/>
      <c r="AQ332" s="84"/>
      <c r="AR332" s="84"/>
    </row>
    <row r="333" spans="1:44" ht="13.2">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c r="AL333" s="84"/>
      <c r="AM333" s="84"/>
      <c r="AN333" s="84"/>
      <c r="AO333" s="84"/>
      <c r="AP333" s="84"/>
      <c r="AQ333" s="84"/>
      <c r="AR333" s="84"/>
    </row>
    <row r="334" spans="1:44" ht="13.2">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c r="AN334" s="84"/>
      <c r="AO334" s="84"/>
      <c r="AP334" s="84"/>
      <c r="AQ334" s="84"/>
      <c r="AR334" s="84"/>
    </row>
    <row r="335" spans="1:44" ht="13.2">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c r="AL335" s="84"/>
      <c r="AM335" s="84"/>
      <c r="AN335" s="84"/>
      <c r="AO335" s="84"/>
      <c r="AP335" s="84"/>
      <c r="AQ335" s="84"/>
      <c r="AR335" s="84"/>
    </row>
    <row r="336" spans="1:44" ht="13.2">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c r="AL336" s="84"/>
      <c r="AM336" s="84"/>
      <c r="AN336" s="84"/>
      <c r="AO336" s="84"/>
      <c r="AP336" s="84"/>
      <c r="AQ336" s="84"/>
      <c r="AR336" s="84"/>
    </row>
    <row r="337" spans="1:44" ht="13.2">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c r="AL337" s="84"/>
      <c r="AM337" s="84"/>
      <c r="AN337" s="84"/>
      <c r="AO337" s="84"/>
      <c r="AP337" s="84"/>
      <c r="AQ337" s="84"/>
      <c r="AR337" s="84"/>
    </row>
    <row r="338" spans="1:44" ht="13.2">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c r="AL338" s="84"/>
      <c r="AM338" s="84"/>
      <c r="AN338" s="84"/>
      <c r="AO338" s="84"/>
      <c r="AP338" s="84"/>
      <c r="AQ338" s="84"/>
      <c r="AR338" s="84"/>
    </row>
    <row r="339" spans="1:44" ht="13.2">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c r="AK339" s="84"/>
      <c r="AL339" s="84"/>
      <c r="AM339" s="84"/>
      <c r="AN339" s="84"/>
      <c r="AO339" s="84"/>
      <c r="AP339" s="84"/>
      <c r="AQ339" s="84"/>
      <c r="AR339" s="84"/>
    </row>
    <row r="340" spans="1:44" ht="13.2">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c r="AL340" s="84"/>
      <c r="AM340" s="84"/>
      <c r="AN340" s="84"/>
      <c r="AO340" s="84"/>
      <c r="AP340" s="84"/>
      <c r="AQ340" s="84"/>
      <c r="AR340" s="84"/>
    </row>
    <row r="341" spans="1:44" ht="13.2">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c r="AK341" s="84"/>
      <c r="AL341" s="84"/>
      <c r="AM341" s="84"/>
      <c r="AN341" s="84"/>
      <c r="AO341" s="84"/>
      <c r="AP341" s="84"/>
      <c r="AQ341" s="84"/>
      <c r="AR341" s="84"/>
    </row>
    <row r="342" spans="1:44" ht="13.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c r="AK342" s="84"/>
      <c r="AL342" s="84"/>
      <c r="AM342" s="84"/>
      <c r="AN342" s="84"/>
      <c r="AO342" s="84"/>
      <c r="AP342" s="84"/>
      <c r="AQ342" s="84"/>
      <c r="AR342" s="84"/>
    </row>
    <row r="343" spans="1:44" ht="13.2">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c r="AL343" s="84"/>
      <c r="AM343" s="84"/>
      <c r="AN343" s="84"/>
      <c r="AO343" s="84"/>
      <c r="AP343" s="84"/>
      <c r="AQ343" s="84"/>
      <c r="AR343" s="84"/>
    </row>
    <row r="344" spans="1:44" ht="13.2">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c r="AL344" s="84"/>
      <c r="AM344" s="84"/>
      <c r="AN344" s="84"/>
      <c r="AO344" s="84"/>
      <c r="AP344" s="84"/>
      <c r="AQ344" s="84"/>
      <c r="AR344" s="84"/>
    </row>
    <row r="345" spans="1:44" ht="13.2">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c r="AK345" s="84"/>
      <c r="AL345" s="84"/>
      <c r="AM345" s="84"/>
      <c r="AN345" s="84"/>
      <c r="AO345" s="84"/>
      <c r="AP345" s="84"/>
      <c r="AQ345" s="84"/>
      <c r="AR345" s="84"/>
    </row>
    <row r="346" spans="1:44" ht="13.2">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c r="AK346" s="84"/>
      <c r="AL346" s="84"/>
      <c r="AM346" s="84"/>
      <c r="AN346" s="84"/>
      <c r="AO346" s="84"/>
      <c r="AP346" s="84"/>
      <c r="AQ346" s="84"/>
      <c r="AR346" s="84"/>
    </row>
    <row r="347" spans="1:44" ht="13.2">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c r="AK347" s="84"/>
      <c r="AL347" s="84"/>
      <c r="AM347" s="84"/>
      <c r="AN347" s="84"/>
      <c r="AO347" s="84"/>
      <c r="AP347" s="84"/>
      <c r="AQ347" s="84"/>
      <c r="AR347" s="84"/>
    </row>
    <row r="348" spans="1:44" ht="13.2">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4"/>
      <c r="AM348" s="84"/>
      <c r="AN348" s="84"/>
      <c r="AO348" s="84"/>
      <c r="AP348" s="84"/>
      <c r="AQ348" s="84"/>
      <c r="AR348" s="84"/>
    </row>
    <row r="349" spans="1:44" ht="13.2">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c r="AL349" s="84"/>
      <c r="AM349" s="84"/>
      <c r="AN349" s="84"/>
      <c r="AO349" s="84"/>
      <c r="AP349" s="84"/>
      <c r="AQ349" s="84"/>
      <c r="AR349" s="84"/>
    </row>
    <row r="350" spans="1:44" ht="13.2">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c r="AL350" s="84"/>
      <c r="AM350" s="84"/>
      <c r="AN350" s="84"/>
      <c r="AO350" s="84"/>
      <c r="AP350" s="84"/>
      <c r="AQ350" s="84"/>
      <c r="AR350" s="84"/>
    </row>
    <row r="351" spans="1:44" ht="13.2">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c r="AL351" s="84"/>
      <c r="AM351" s="84"/>
      <c r="AN351" s="84"/>
      <c r="AO351" s="84"/>
      <c r="AP351" s="84"/>
      <c r="AQ351" s="84"/>
      <c r="AR351" s="84"/>
    </row>
    <row r="352" spans="1:44" ht="13.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c r="AL352" s="84"/>
      <c r="AM352" s="84"/>
      <c r="AN352" s="84"/>
      <c r="AO352" s="84"/>
      <c r="AP352" s="84"/>
      <c r="AQ352" s="84"/>
      <c r="AR352" s="84"/>
    </row>
    <row r="353" spans="1:44" ht="13.2">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c r="AL353" s="84"/>
      <c r="AM353" s="84"/>
      <c r="AN353" s="84"/>
      <c r="AO353" s="84"/>
      <c r="AP353" s="84"/>
      <c r="AQ353" s="84"/>
      <c r="AR353" s="84"/>
    </row>
    <row r="354" spans="1:44" ht="13.2">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c r="AL354" s="84"/>
      <c r="AM354" s="84"/>
      <c r="AN354" s="84"/>
      <c r="AO354" s="84"/>
      <c r="AP354" s="84"/>
      <c r="AQ354" s="84"/>
      <c r="AR354" s="84"/>
    </row>
    <row r="355" spans="1:44" ht="13.2">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c r="AL355" s="84"/>
      <c r="AM355" s="84"/>
      <c r="AN355" s="84"/>
      <c r="AO355" s="84"/>
      <c r="AP355" s="84"/>
      <c r="AQ355" s="84"/>
      <c r="AR355" s="84"/>
    </row>
    <row r="356" spans="1:44" ht="13.2">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c r="AL356" s="84"/>
      <c r="AM356" s="84"/>
      <c r="AN356" s="84"/>
      <c r="AO356" s="84"/>
      <c r="AP356" s="84"/>
      <c r="AQ356" s="84"/>
      <c r="AR356" s="84"/>
    </row>
    <row r="357" spans="1:44" ht="13.2">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c r="AL357" s="84"/>
      <c r="AM357" s="84"/>
      <c r="AN357" s="84"/>
      <c r="AO357" s="84"/>
      <c r="AP357" s="84"/>
      <c r="AQ357" s="84"/>
      <c r="AR357" s="84"/>
    </row>
    <row r="358" spans="1:44" ht="13.2">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c r="AL358" s="84"/>
      <c r="AM358" s="84"/>
      <c r="AN358" s="84"/>
      <c r="AO358" s="84"/>
      <c r="AP358" s="84"/>
      <c r="AQ358" s="84"/>
      <c r="AR358" s="84"/>
    </row>
    <row r="359" spans="1:44" ht="13.2">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c r="AL359" s="84"/>
      <c r="AM359" s="84"/>
      <c r="AN359" s="84"/>
      <c r="AO359" s="84"/>
      <c r="AP359" s="84"/>
      <c r="AQ359" s="84"/>
      <c r="AR359" s="84"/>
    </row>
    <row r="360" spans="1:44" ht="13.2">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c r="AL360" s="84"/>
      <c r="AM360" s="84"/>
      <c r="AN360" s="84"/>
      <c r="AO360" s="84"/>
      <c r="AP360" s="84"/>
      <c r="AQ360" s="84"/>
      <c r="AR360" s="84"/>
    </row>
    <row r="361" spans="1:44" ht="13.2">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c r="AL361" s="84"/>
      <c r="AM361" s="84"/>
      <c r="AN361" s="84"/>
      <c r="AO361" s="84"/>
      <c r="AP361" s="84"/>
      <c r="AQ361" s="84"/>
      <c r="AR361" s="84"/>
    </row>
    <row r="362" spans="1:44" ht="13.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c r="AL362" s="84"/>
      <c r="AM362" s="84"/>
      <c r="AN362" s="84"/>
      <c r="AO362" s="84"/>
      <c r="AP362" s="84"/>
      <c r="AQ362" s="84"/>
      <c r="AR362" s="84"/>
    </row>
    <row r="363" spans="1:44" ht="13.2">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c r="AL363" s="84"/>
      <c r="AM363" s="84"/>
      <c r="AN363" s="84"/>
      <c r="AO363" s="84"/>
      <c r="AP363" s="84"/>
      <c r="AQ363" s="84"/>
      <c r="AR363" s="84"/>
    </row>
    <row r="364" spans="1:44" ht="13.2">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c r="AL364" s="84"/>
      <c r="AM364" s="84"/>
      <c r="AN364" s="84"/>
      <c r="AO364" s="84"/>
      <c r="AP364" s="84"/>
      <c r="AQ364" s="84"/>
      <c r="AR364" s="84"/>
    </row>
    <row r="365" spans="1:44" ht="13.2">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c r="AL365" s="84"/>
      <c r="AM365" s="84"/>
      <c r="AN365" s="84"/>
      <c r="AO365" s="84"/>
      <c r="AP365" s="84"/>
      <c r="AQ365" s="84"/>
      <c r="AR365" s="84"/>
    </row>
    <row r="366" spans="1:44" ht="13.2">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c r="AL366" s="84"/>
      <c r="AM366" s="84"/>
      <c r="AN366" s="84"/>
      <c r="AO366" s="84"/>
      <c r="AP366" s="84"/>
      <c r="AQ366" s="84"/>
      <c r="AR366" s="84"/>
    </row>
    <row r="367" spans="1:44" ht="13.2">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c r="AL367" s="84"/>
      <c r="AM367" s="84"/>
      <c r="AN367" s="84"/>
      <c r="AO367" s="84"/>
      <c r="AP367" s="84"/>
      <c r="AQ367" s="84"/>
      <c r="AR367" s="84"/>
    </row>
    <row r="368" spans="1:44" ht="13.2">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c r="AL368" s="84"/>
      <c r="AM368" s="84"/>
      <c r="AN368" s="84"/>
      <c r="AO368" s="84"/>
      <c r="AP368" s="84"/>
      <c r="AQ368" s="84"/>
      <c r="AR368" s="84"/>
    </row>
    <row r="369" spans="1:44" ht="13.2">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c r="AL369" s="84"/>
      <c r="AM369" s="84"/>
      <c r="AN369" s="84"/>
      <c r="AO369" s="84"/>
      <c r="AP369" s="84"/>
      <c r="AQ369" s="84"/>
      <c r="AR369" s="84"/>
    </row>
    <row r="370" spans="1:44" ht="13.2">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c r="AL370" s="84"/>
      <c r="AM370" s="84"/>
      <c r="AN370" s="84"/>
      <c r="AO370" s="84"/>
      <c r="AP370" s="84"/>
      <c r="AQ370" s="84"/>
      <c r="AR370" s="84"/>
    </row>
    <row r="371" spans="1:44" ht="13.2">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c r="AL371" s="84"/>
      <c r="AM371" s="84"/>
      <c r="AN371" s="84"/>
      <c r="AO371" s="84"/>
      <c r="AP371" s="84"/>
      <c r="AQ371" s="84"/>
      <c r="AR371" s="84"/>
    </row>
    <row r="372" spans="1:44" ht="13.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c r="AL372" s="84"/>
      <c r="AM372" s="84"/>
      <c r="AN372" s="84"/>
      <c r="AO372" s="84"/>
      <c r="AP372" s="84"/>
      <c r="AQ372" s="84"/>
      <c r="AR372" s="84"/>
    </row>
    <row r="373" spans="1:44" ht="13.2">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c r="AL373" s="84"/>
      <c r="AM373" s="84"/>
      <c r="AN373" s="84"/>
      <c r="AO373" s="84"/>
      <c r="AP373" s="84"/>
      <c r="AQ373" s="84"/>
      <c r="AR373" s="84"/>
    </row>
    <row r="374" spans="1:44" ht="13.2">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c r="AL374" s="84"/>
      <c r="AM374" s="84"/>
      <c r="AN374" s="84"/>
      <c r="AO374" s="84"/>
      <c r="AP374" s="84"/>
      <c r="AQ374" s="84"/>
      <c r="AR374" s="84"/>
    </row>
    <row r="375" spans="1:44" ht="13.2">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c r="AL375" s="84"/>
      <c r="AM375" s="84"/>
      <c r="AN375" s="84"/>
      <c r="AO375" s="84"/>
      <c r="AP375" s="84"/>
      <c r="AQ375" s="84"/>
      <c r="AR375" s="84"/>
    </row>
    <row r="376" spans="1:44" ht="13.2">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c r="AL376" s="84"/>
      <c r="AM376" s="84"/>
      <c r="AN376" s="84"/>
      <c r="AO376" s="84"/>
      <c r="AP376" s="84"/>
      <c r="AQ376" s="84"/>
      <c r="AR376" s="84"/>
    </row>
    <row r="377" spans="1:44" ht="13.2">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c r="AK377" s="84"/>
      <c r="AL377" s="84"/>
      <c r="AM377" s="84"/>
      <c r="AN377" s="84"/>
      <c r="AO377" s="84"/>
      <c r="AP377" s="84"/>
      <c r="AQ377" s="84"/>
      <c r="AR377" s="84"/>
    </row>
    <row r="378" spans="1:44" ht="13.2">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c r="AK378" s="84"/>
      <c r="AL378" s="84"/>
      <c r="AM378" s="84"/>
      <c r="AN378" s="84"/>
      <c r="AO378" s="84"/>
      <c r="AP378" s="84"/>
      <c r="AQ378" s="84"/>
      <c r="AR378" s="84"/>
    </row>
    <row r="379" spans="1:44" ht="13.2">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c r="AK379" s="84"/>
      <c r="AL379" s="84"/>
      <c r="AM379" s="84"/>
      <c r="AN379" s="84"/>
      <c r="AO379" s="84"/>
      <c r="AP379" s="84"/>
      <c r="AQ379" s="84"/>
      <c r="AR379" s="84"/>
    </row>
    <row r="380" spans="1:44" ht="13.2">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c r="AL380" s="84"/>
      <c r="AM380" s="84"/>
      <c r="AN380" s="84"/>
      <c r="AO380" s="84"/>
      <c r="AP380" s="84"/>
      <c r="AQ380" s="84"/>
      <c r="AR380" s="84"/>
    </row>
    <row r="381" spans="1:44" ht="13.2">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c r="AK381" s="84"/>
      <c r="AL381" s="84"/>
      <c r="AM381" s="84"/>
      <c r="AN381" s="84"/>
      <c r="AO381" s="84"/>
      <c r="AP381" s="84"/>
      <c r="AQ381" s="84"/>
      <c r="AR381" s="84"/>
    </row>
    <row r="382" spans="1:44" ht="13.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c r="AK382" s="84"/>
      <c r="AL382" s="84"/>
      <c r="AM382" s="84"/>
      <c r="AN382" s="84"/>
      <c r="AO382" s="84"/>
      <c r="AP382" s="84"/>
      <c r="AQ382" s="84"/>
      <c r="AR382" s="84"/>
    </row>
    <row r="383" spans="1:44" ht="13.2">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c r="AL383" s="84"/>
      <c r="AM383" s="84"/>
      <c r="AN383" s="84"/>
      <c r="AO383" s="84"/>
      <c r="AP383" s="84"/>
      <c r="AQ383" s="84"/>
      <c r="AR383" s="84"/>
    </row>
    <row r="384" spans="1:44" ht="13.2">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c r="AL384" s="84"/>
      <c r="AM384" s="84"/>
      <c r="AN384" s="84"/>
      <c r="AO384" s="84"/>
      <c r="AP384" s="84"/>
      <c r="AQ384" s="84"/>
      <c r="AR384" s="84"/>
    </row>
    <row r="385" spans="1:44" ht="13.2">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c r="AK385" s="84"/>
      <c r="AL385" s="84"/>
      <c r="AM385" s="84"/>
      <c r="AN385" s="84"/>
      <c r="AO385" s="84"/>
      <c r="AP385" s="84"/>
      <c r="AQ385" s="84"/>
      <c r="AR385" s="84"/>
    </row>
    <row r="386" spans="1:44" ht="13.2">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c r="AK386" s="84"/>
      <c r="AL386" s="84"/>
      <c r="AM386" s="84"/>
      <c r="AN386" s="84"/>
      <c r="AO386" s="84"/>
      <c r="AP386" s="84"/>
      <c r="AQ386" s="84"/>
      <c r="AR386" s="84"/>
    </row>
    <row r="387" spans="1:44" ht="13.2">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c r="AK387" s="84"/>
      <c r="AL387" s="84"/>
      <c r="AM387" s="84"/>
      <c r="AN387" s="84"/>
      <c r="AO387" s="84"/>
      <c r="AP387" s="84"/>
      <c r="AQ387" s="84"/>
      <c r="AR387" s="84"/>
    </row>
    <row r="388" spans="1:44" ht="13.2">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c r="AK388" s="84"/>
      <c r="AL388" s="84"/>
      <c r="AM388" s="84"/>
      <c r="AN388" s="84"/>
      <c r="AO388" s="84"/>
      <c r="AP388" s="84"/>
      <c r="AQ388" s="84"/>
      <c r="AR388" s="84"/>
    </row>
    <row r="389" spans="1:44" ht="13.2">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c r="AK389" s="84"/>
      <c r="AL389" s="84"/>
      <c r="AM389" s="84"/>
      <c r="AN389" s="84"/>
      <c r="AO389" s="84"/>
      <c r="AP389" s="84"/>
      <c r="AQ389" s="84"/>
      <c r="AR389" s="84"/>
    </row>
    <row r="390" spans="1:44" ht="13.2">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c r="AL390" s="84"/>
      <c r="AM390" s="84"/>
      <c r="AN390" s="84"/>
      <c r="AO390" s="84"/>
      <c r="AP390" s="84"/>
      <c r="AQ390" s="84"/>
      <c r="AR390" s="84"/>
    </row>
    <row r="391" spans="1:44" ht="13.2">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c r="AK391" s="84"/>
      <c r="AL391" s="84"/>
      <c r="AM391" s="84"/>
      <c r="AN391" s="84"/>
      <c r="AO391" s="84"/>
      <c r="AP391" s="84"/>
      <c r="AQ391" s="84"/>
      <c r="AR391" s="84"/>
    </row>
    <row r="392" spans="1:44" ht="13.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c r="AL392" s="84"/>
      <c r="AM392" s="84"/>
      <c r="AN392" s="84"/>
      <c r="AO392" s="84"/>
      <c r="AP392" s="84"/>
      <c r="AQ392" s="84"/>
      <c r="AR392" s="84"/>
    </row>
    <row r="393" spans="1:44" ht="13.2">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c r="AK393" s="84"/>
      <c r="AL393" s="84"/>
      <c r="AM393" s="84"/>
      <c r="AN393" s="84"/>
      <c r="AO393" s="84"/>
      <c r="AP393" s="84"/>
      <c r="AQ393" s="84"/>
      <c r="AR393" s="84"/>
    </row>
    <row r="394" spans="1:44" ht="13.2">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c r="AK394" s="84"/>
      <c r="AL394" s="84"/>
      <c r="AM394" s="84"/>
      <c r="AN394" s="84"/>
      <c r="AO394" s="84"/>
      <c r="AP394" s="84"/>
      <c r="AQ394" s="84"/>
      <c r="AR394" s="84"/>
    </row>
    <row r="395" spans="1:44" ht="13.2">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c r="AK395" s="84"/>
      <c r="AL395" s="84"/>
      <c r="AM395" s="84"/>
      <c r="AN395" s="84"/>
      <c r="AO395" s="84"/>
      <c r="AP395" s="84"/>
      <c r="AQ395" s="84"/>
      <c r="AR395" s="84"/>
    </row>
    <row r="396" spans="1:44" ht="13.2">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c r="AL396" s="84"/>
      <c r="AM396" s="84"/>
      <c r="AN396" s="84"/>
      <c r="AO396" s="84"/>
      <c r="AP396" s="84"/>
      <c r="AQ396" s="84"/>
      <c r="AR396" s="84"/>
    </row>
    <row r="397" spans="1:44" ht="13.2">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c r="AL397" s="84"/>
      <c r="AM397" s="84"/>
      <c r="AN397" s="84"/>
      <c r="AO397" s="84"/>
      <c r="AP397" s="84"/>
      <c r="AQ397" s="84"/>
      <c r="AR397" s="84"/>
    </row>
    <row r="398" spans="1:44" ht="13.2">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c r="AL398" s="84"/>
      <c r="AM398" s="84"/>
      <c r="AN398" s="84"/>
      <c r="AO398" s="84"/>
      <c r="AP398" s="84"/>
      <c r="AQ398" s="84"/>
      <c r="AR398" s="84"/>
    </row>
    <row r="399" spans="1:44" ht="13.2">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c r="AL399" s="84"/>
      <c r="AM399" s="84"/>
      <c r="AN399" s="84"/>
      <c r="AO399" s="84"/>
      <c r="AP399" s="84"/>
      <c r="AQ399" s="84"/>
      <c r="AR399" s="84"/>
    </row>
    <row r="400" spans="1:44" ht="13.2">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c r="AL400" s="84"/>
      <c r="AM400" s="84"/>
      <c r="AN400" s="84"/>
      <c r="AO400" s="84"/>
      <c r="AP400" s="84"/>
      <c r="AQ400" s="84"/>
      <c r="AR400" s="84"/>
    </row>
    <row r="401" spans="1:44" ht="13.2">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c r="AL401" s="84"/>
      <c r="AM401" s="84"/>
      <c r="AN401" s="84"/>
      <c r="AO401" s="84"/>
      <c r="AP401" s="84"/>
      <c r="AQ401" s="84"/>
      <c r="AR401" s="84"/>
    </row>
    <row r="402" spans="1:44" ht="13.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c r="AL402" s="84"/>
      <c r="AM402" s="84"/>
      <c r="AN402" s="84"/>
      <c r="AO402" s="84"/>
      <c r="AP402" s="84"/>
      <c r="AQ402" s="84"/>
      <c r="AR402" s="84"/>
    </row>
    <row r="403" spans="1:44" ht="13.2">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c r="AL403" s="84"/>
      <c r="AM403" s="84"/>
      <c r="AN403" s="84"/>
      <c r="AO403" s="84"/>
      <c r="AP403" s="84"/>
      <c r="AQ403" s="84"/>
      <c r="AR403" s="84"/>
    </row>
    <row r="404" spans="1:44" ht="13.2">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c r="AL404" s="84"/>
      <c r="AM404" s="84"/>
      <c r="AN404" s="84"/>
      <c r="AO404" s="84"/>
      <c r="AP404" s="84"/>
      <c r="AQ404" s="84"/>
      <c r="AR404" s="84"/>
    </row>
    <row r="405" spans="1:44" ht="13.2">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c r="AK405" s="84"/>
      <c r="AL405" s="84"/>
      <c r="AM405" s="84"/>
      <c r="AN405" s="84"/>
      <c r="AO405" s="84"/>
      <c r="AP405" s="84"/>
      <c r="AQ405" s="84"/>
      <c r="AR405" s="84"/>
    </row>
    <row r="406" spans="1:44" ht="13.2">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c r="AK406" s="84"/>
      <c r="AL406" s="84"/>
      <c r="AM406" s="84"/>
      <c r="AN406" s="84"/>
      <c r="AO406" s="84"/>
      <c r="AP406" s="84"/>
      <c r="AQ406" s="84"/>
      <c r="AR406" s="84"/>
    </row>
    <row r="407" spans="1:44" ht="13.2">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c r="AK407" s="84"/>
      <c r="AL407" s="84"/>
      <c r="AM407" s="84"/>
      <c r="AN407" s="84"/>
      <c r="AO407" s="84"/>
      <c r="AP407" s="84"/>
      <c r="AQ407" s="84"/>
      <c r="AR407" s="84"/>
    </row>
    <row r="408" spans="1:44" ht="13.2">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c r="AK408" s="84"/>
      <c r="AL408" s="84"/>
      <c r="AM408" s="84"/>
      <c r="AN408" s="84"/>
      <c r="AO408" s="84"/>
      <c r="AP408" s="84"/>
      <c r="AQ408" s="84"/>
      <c r="AR408" s="84"/>
    </row>
    <row r="409" spans="1:44" ht="13.2">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c r="AK409" s="84"/>
      <c r="AL409" s="84"/>
      <c r="AM409" s="84"/>
      <c r="AN409" s="84"/>
      <c r="AO409" s="84"/>
      <c r="AP409" s="84"/>
      <c r="AQ409" s="84"/>
      <c r="AR409" s="84"/>
    </row>
    <row r="410" spans="1:44" ht="13.2">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c r="AK410" s="84"/>
      <c r="AL410" s="84"/>
      <c r="AM410" s="84"/>
      <c r="AN410" s="84"/>
      <c r="AO410" s="84"/>
      <c r="AP410" s="84"/>
      <c r="AQ410" s="84"/>
      <c r="AR410" s="84"/>
    </row>
    <row r="411" spans="1:44" ht="13.2">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c r="AK411" s="84"/>
      <c r="AL411" s="84"/>
      <c r="AM411" s="84"/>
      <c r="AN411" s="84"/>
      <c r="AO411" s="84"/>
      <c r="AP411" s="84"/>
      <c r="AQ411" s="84"/>
      <c r="AR411" s="84"/>
    </row>
    <row r="412" spans="1:44" ht="13.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c r="AK412" s="84"/>
      <c r="AL412" s="84"/>
      <c r="AM412" s="84"/>
      <c r="AN412" s="84"/>
      <c r="AO412" s="84"/>
      <c r="AP412" s="84"/>
      <c r="AQ412" s="84"/>
      <c r="AR412" s="84"/>
    </row>
    <row r="413" spans="1:44" ht="13.2">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c r="AK413" s="84"/>
      <c r="AL413" s="84"/>
      <c r="AM413" s="84"/>
      <c r="AN413" s="84"/>
      <c r="AO413" s="84"/>
      <c r="AP413" s="84"/>
      <c r="AQ413" s="84"/>
      <c r="AR413" s="84"/>
    </row>
    <row r="414" spans="1:44" ht="13.2">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c r="AK414" s="84"/>
      <c r="AL414" s="84"/>
      <c r="AM414" s="84"/>
      <c r="AN414" s="84"/>
      <c r="AO414" s="84"/>
      <c r="AP414" s="84"/>
      <c r="AQ414" s="84"/>
      <c r="AR414" s="84"/>
    </row>
    <row r="415" spans="1:44" ht="13.2">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c r="AK415" s="84"/>
      <c r="AL415" s="84"/>
      <c r="AM415" s="84"/>
      <c r="AN415" s="84"/>
      <c r="AO415" s="84"/>
      <c r="AP415" s="84"/>
      <c r="AQ415" s="84"/>
      <c r="AR415" s="84"/>
    </row>
    <row r="416" spans="1:44" ht="13.2">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c r="AK416" s="84"/>
      <c r="AL416" s="84"/>
      <c r="AM416" s="84"/>
      <c r="AN416" s="84"/>
      <c r="AO416" s="84"/>
      <c r="AP416" s="84"/>
      <c r="AQ416" s="84"/>
      <c r="AR416" s="84"/>
    </row>
    <row r="417" spans="1:44" ht="13.2">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c r="AK417" s="84"/>
      <c r="AL417" s="84"/>
      <c r="AM417" s="84"/>
      <c r="AN417" s="84"/>
      <c r="AO417" s="84"/>
      <c r="AP417" s="84"/>
      <c r="AQ417" s="84"/>
      <c r="AR417" s="84"/>
    </row>
    <row r="418" spans="1:44" ht="13.2">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c r="AK418" s="84"/>
      <c r="AL418" s="84"/>
      <c r="AM418" s="84"/>
      <c r="AN418" s="84"/>
      <c r="AO418" s="84"/>
      <c r="AP418" s="84"/>
      <c r="AQ418" s="84"/>
      <c r="AR418" s="84"/>
    </row>
    <row r="419" spans="1:44" ht="13.2">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c r="AK419" s="84"/>
      <c r="AL419" s="84"/>
      <c r="AM419" s="84"/>
      <c r="AN419" s="84"/>
      <c r="AO419" s="84"/>
      <c r="AP419" s="84"/>
      <c r="AQ419" s="84"/>
      <c r="AR419" s="84"/>
    </row>
    <row r="420" spans="1:44" ht="13.2">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c r="AK420" s="84"/>
      <c r="AL420" s="84"/>
      <c r="AM420" s="84"/>
      <c r="AN420" s="84"/>
      <c r="AO420" s="84"/>
      <c r="AP420" s="84"/>
      <c r="AQ420" s="84"/>
      <c r="AR420" s="84"/>
    </row>
    <row r="421" spans="1:44" ht="13.2">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c r="AK421" s="84"/>
      <c r="AL421" s="84"/>
      <c r="AM421" s="84"/>
      <c r="AN421" s="84"/>
      <c r="AO421" s="84"/>
      <c r="AP421" s="84"/>
      <c r="AQ421" s="84"/>
      <c r="AR421" s="84"/>
    </row>
    <row r="422" spans="1:44" ht="13.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c r="AK422" s="84"/>
      <c r="AL422" s="84"/>
      <c r="AM422" s="84"/>
      <c r="AN422" s="84"/>
      <c r="AO422" s="84"/>
      <c r="AP422" s="84"/>
      <c r="AQ422" s="84"/>
      <c r="AR422" s="84"/>
    </row>
    <row r="423" spans="1:44" ht="13.2">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c r="AK423" s="84"/>
      <c r="AL423" s="84"/>
      <c r="AM423" s="84"/>
      <c r="AN423" s="84"/>
      <c r="AO423" s="84"/>
      <c r="AP423" s="84"/>
      <c r="AQ423" s="84"/>
      <c r="AR423" s="84"/>
    </row>
    <row r="424" spans="1:44" ht="13.2">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c r="AK424" s="84"/>
      <c r="AL424" s="84"/>
      <c r="AM424" s="84"/>
      <c r="AN424" s="84"/>
      <c r="AO424" s="84"/>
      <c r="AP424" s="84"/>
      <c r="AQ424" s="84"/>
      <c r="AR424" s="84"/>
    </row>
    <row r="425" spans="1:44" ht="13.2">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c r="AK425" s="84"/>
      <c r="AL425" s="84"/>
      <c r="AM425" s="84"/>
      <c r="AN425" s="84"/>
      <c r="AO425" s="84"/>
      <c r="AP425" s="84"/>
      <c r="AQ425" s="84"/>
      <c r="AR425" s="84"/>
    </row>
    <row r="426" spans="1:44" ht="13.2">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c r="AK426" s="84"/>
      <c r="AL426" s="84"/>
      <c r="AM426" s="84"/>
      <c r="AN426" s="84"/>
      <c r="AO426" s="84"/>
      <c r="AP426" s="84"/>
      <c r="AQ426" s="84"/>
      <c r="AR426" s="84"/>
    </row>
    <row r="427" spans="1:44" ht="13.2">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c r="AK427" s="84"/>
      <c r="AL427" s="84"/>
      <c r="AM427" s="84"/>
      <c r="AN427" s="84"/>
      <c r="AO427" s="84"/>
      <c r="AP427" s="84"/>
      <c r="AQ427" s="84"/>
      <c r="AR427" s="84"/>
    </row>
    <row r="428" spans="1:44" ht="13.2">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c r="AK428" s="84"/>
      <c r="AL428" s="84"/>
      <c r="AM428" s="84"/>
      <c r="AN428" s="84"/>
      <c r="AO428" s="84"/>
      <c r="AP428" s="84"/>
      <c r="AQ428" s="84"/>
      <c r="AR428" s="84"/>
    </row>
    <row r="429" spans="1:44" ht="13.2">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c r="AL429" s="84"/>
      <c r="AM429" s="84"/>
      <c r="AN429" s="84"/>
      <c r="AO429" s="84"/>
      <c r="AP429" s="84"/>
      <c r="AQ429" s="84"/>
      <c r="AR429" s="84"/>
    </row>
    <row r="430" spans="1:44" ht="13.2">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c r="AK430" s="84"/>
      <c r="AL430" s="84"/>
      <c r="AM430" s="84"/>
      <c r="AN430" s="84"/>
      <c r="AO430" s="84"/>
      <c r="AP430" s="84"/>
      <c r="AQ430" s="84"/>
      <c r="AR430" s="84"/>
    </row>
    <row r="431" spans="1:44" ht="13.2">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c r="AK431" s="84"/>
      <c r="AL431" s="84"/>
      <c r="AM431" s="84"/>
      <c r="AN431" s="84"/>
      <c r="AO431" s="84"/>
      <c r="AP431" s="84"/>
      <c r="AQ431" s="84"/>
      <c r="AR431" s="84"/>
    </row>
    <row r="432" spans="1:44" ht="1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c r="AK432" s="84"/>
      <c r="AL432" s="84"/>
      <c r="AM432" s="84"/>
      <c r="AN432" s="84"/>
      <c r="AO432" s="84"/>
      <c r="AP432" s="84"/>
      <c r="AQ432" s="84"/>
      <c r="AR432" s="84"/>
    </row>
    <row r="433" spans="1:44" ht="13.2">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c r="AK433" s="84"/>
      <c r="AL433" s="84"/>
      <c r="AM433" s="84"/>
      <c r="AN433" s="84"/>
      <c r="AO433" s="84"/>
      <c r="AP433" s="84"/>
      <c r="AQ433" s="84"/>
      <c r="AR433" s="84"/>
    </row>
    <row r="434" spans="1:44" ht="13.2">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c r="AK434" s="84"/>
      <c r="AL434" s="84"/>
      <c r="AM434" s="84"/>
      <c r="AN434" s="84"/>
      <c r="AO434" s="84"/>
      <c r="AP434" s="84"/>
      <c r="AQ434" s="84"/>
      <c r="AR434" s="84"/>
    </row>
    <row r="435" spans="1:44" ht="13.2">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c r="AK435" s="84"/>
      <c r="AL435" s="84"/>
      <c r="AM435" s="84"/>
      <c r="AN435" s="84"/>
      <c r="AO435" s="84"/>
      <c r="AP435" s="84"/>
      <c r="AQ435" s="84"/>
      <c r="AR435" s="84"/>
    </row>
    <row r="436" spans="1:44" ht="13.2">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c r="AK436" s="84"/>
      <c r="AL436" s="84"/>
      <c r="AM436" s="84"/>
      <c r="AN436" s="84"/>
      <c r="AO436" s="84"/>
      <c r="AP436" s="84"/>
      <c r="AQ436" s="84"/>
      <c r="AR436" s="84"/>
    </row>
    <row r="437" spans="1:44" ht="13.2">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c r="AK437" s="84"/>
      <c r="AL437" s="84"/>
      <c r="AM437" s="84"/>
      <c r="AN437" s="84"/>
      <c r="AO437" s="84"/>
      <c r="AP437" s="84"/>
      <c r="AQ437" s="84"/>
      <c r="AR437" s="84"/>
    </row>
    <row r="438" spans="1:44" ht="13.2">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c r="AK438" s="84"/>
      <c r="AL438" s="84"/>
      <c r="AM438" s="84"/>
      <c r="AN438" s="84"/>
      <c r="AO438" s="84"/>
      <c r="AP438" s="84"/>
      <c r="AQ438" s="84"/>
      <c r="AR438" s="84"/>
    </row>
    <row r="439" spans="1:44" ht="13.2">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c r="AK439" s="84"/>
      <c r="AL439" s="84"/>
      <c r="AM439" s="84"/>
      <c r="AN439" s="84"/>
      <c r="AO439" s="84"/>
      <c r="AP439" s="84"/>
      <c r="AQ439" s="84"/>
      <c r="AR439" s="84"/>
    </row>
    <row r="440" spans="1:44" ht="13.2">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c r="AL440" s="84"/>
      <c r="AM440" s="84"/>
      <c r="AN440" s="84"/>
      <c r="AO440" s="84"/>
      <c r="AP440" s="84"/>
      <c r="AQ440" s="84"/>
      <c r="AR440" s="84"/>
    </row>
    <row r="441" spans="1:44" ht="13.2">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c r="AK441" s="84"/>
      <c r="AL441" s="84"/>
      <c r="AM441" s="84"/>
      <c r="AN441" s="84"/>
      <c r="AO441" s="84"/>
      <c r="AP441" s="84"/>
      <c r="AQ441" s="84"/>
      <c r="AR441" s="84"/>
    </row>
    <row r="442" spans="1:44" ht="13.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c r="AK442" s="84"/>
      <c r="AL442" s="84"/>
      <c r="AM442" s="84"/>
      <c r="AN442" s="84"/>
      <c r="AO442" s="84"/>
      <c r="AP442" s="84"/>
      <c r="AQ442" s="84"/>
      <c r="AR442" s="84"/>
    </row>
    <row r="443" spans="1:44" ht="13.2">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c r="AK443" s="84"/>
      <c r="AL443" s="84"/>
      <c r="AM443" s="84"/>
      <c r="AN443" s="84"/>
      <c r="AO443" s="84"/>
      <c r="AP443" s="84"/>
      <c r="AQ443" s="84"/>
      <c r="AR443" s="84"/>
    </row>
    <row r="444" spans="1:44" ht="13.2">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c r="AK444" s="84"/>
      <c r="AL444" s="84"/>
      <c r="AM444" s="84"/>
      <c r="AN444" s="84"/>
      <c r="AO444" s="84"/>
      <c r="AP444" s="84"/>
      <c r="AQ444" s="84"/>
      <c r="AR444" s="84"/>
    </row>
    <row r="445" spans="1:44" ht="13.2">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c r="AK445" s="84"/>
      <c r="AL445" s="84"/>
      <c r="AM445" s="84"/>
      <c r="AN445" s="84"/>
      <c r="AO445" s="84"/>
      <c r="AP445" s="84"/>
      <c r="AQ445" s="84"/>
      <c r="AR445" s="84"/>
    </row>
    <row r="446" spans="1:44" ht="13.2">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c r="AK446" s="84"/>
      <c r="AL446" s="84"/>
      <c r="AM446" s="84"/>
      <c r="AN446" s="84"/>
      <c r="AO446" s="84"/>
      <c r="AP446" s="84"/>
      <c r="AQ446" s="84"/>
      <c r="AR446" s="84"/>
    </row>
    <row r="447" spans="1:44" ht="13.2">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c r="AK447" s="84"/>
      <c r="AL447" s="84"/>
      <c r="AM447" s="84"/>
      <c r="AN447" s="84"/>
      <c r="AO447" s="84"/>
      <c r="AP447" s="84"/>
      <c r="AQ447" s="84"/>
      <c r="AR447" s="84"/>
    </row>
    <row r="448" spans="1:44" ht="13.2">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c r="AK448" s="84"/>
      <c r="AL448" s="84"/>
      <c r="AM448" s="84"/>
      <c r="AN448" s="84"/>
      <c r="AO448" s="84"/>
      <c r="AP448" s="84"/>
      <c r="AQ448" s="84"/>
      <c r="AR448" s="84"/>
    </row>
    <row r="449" spans="1:44" ht="13.2">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c r="AL449" s="84"/>
      <c r="AM449" s="84"/>
      <c r="AN449" s="84"/>
      <c r="AO449" s="84"/>
      <c r="AP449" s="84"/>
      <c r="AQ449" s="84"/>
      <c r="AR449" s="84"/>
    </row>
    <row r="450" spans="1:44" ht="13.2">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c r="AK450" s="84"/>
      <c r="AL450" s="84"/>
      <c r="AM450" s="84"/>
      <c r="AN450" s="84"/>
      <c r="AO450" s="84"/>
      <c r="AP450" s="84"/>
      <c r="AQ450" s="84"/>
      <c r="AR450" s="84"/>
    </row>
    <row r="451" spans="1:44" ht="13.2">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c r="AK451" s="84"/>
      <c r="AL451" s="84"/>
      <c r="AM451" s="84"/>
      <c r="AN451" s="84"/>
      <c r="AO451" s="84"/>
      <c r="AP451" s="84"/>
      <c r="AQ451" s="84"/>
      <c r="AR451" s="84"/>
    </row>
    <row r="452" spans="1:44" ht="13.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c r="AK452" s="84"/>
      <c r="AL452" s="84"/>
      <c r="AM452" s="84"/>
      <c r="AN452" s="84"/>
      <c r="AO452" s="84"/>
      <c r="AP452" s="84"/>
      <c r="AQ452" s="84"/>
      <c r="AR452" s="84"/>
    </row>
    <row r="453" spans="1:44" ht="13.2">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c r="AK453" s="84"/>
      <c r="AL453" s="84"/>
      <c r="AM453" s="84"/>
      <c r="AN453" s="84"/>
      <c r="AO453" s="84"/>
      <c r="AP453" s="84"/>
      <c r="AQ453" s="84"/>
      <c r="AR453" s="84"/>
    </row>
    <row r="454" spans="1:44" ht="13.2">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c r="AK454" s="84"/>
      <c r="AL454" s="84"/>
      <c r="AM454" s="84"/>
      <c r="AN454" s="84"/>
      <c r="AO454" s="84"/>
      <c r="AP454" s="84"/>
      <c r="AQ454" s="84"/>
      <c r="AR454" s="84"/>
    </row>
    <row r="455" spans="1:44" ht="13.2">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c r="AL455" s="84"/>
      <c r="AM455" s="84"/>
      <c r="AN455" s="84"/>
      <c r="AO455" s="84"/>
      <c r="AP455" s="84"/>
      <c r="AQ455" s="84"/>
      <c r="AR455" s="84"/>
    </row>
    <row r="456" spans="1:44" ht="13.2">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c r="AL456" s="84"/>
      <c r="AM456" s="84"/>
      <c r="AN456" s="84"/>
      <c r="AO456" s="84"/>
      <c r="AP456" s="84"/>
      <c r="AQ456" s="84"/>
      <c r="AR456" s="84"/>
    </row>
    <row r="457" spans="1:44" ht="13.2">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c r="AL457" s="84"/>
      <c r="AM457" s="84"/>
      <c r="AN457" s="84"/>
      <c r="AO457" s="84"/>
      <c r="AP457" s="84"/>
      <c r="AQ457" s="84"/>
      <c r="AR457" s="84"/>
    </row>
    <row r="458" spans="1:44" ht="13.2">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c r="AL458" s="84"/>
      <c r="AM458" s="84"/>
      <c r="AN458" s="84"/>
      <c r="AO458" s="84"/>
      <c r="AP458" s="84"/>
      <c r="AQ458" s="84"/>
      <c r="AR458" s="84"/>
    </row>
    <row r="459" spans="1:44" ht="13.2">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c r="AL459" s="84"/>
      <c r="AM459" s="84"/>
      <c r="AN459" s="84"/>
      <c r="AO459" s="84"/>
      <c r="AP459" s="84"/>
      <c r="AQ459" s="84"/>
      <c r="AR459" s="84"/>
    </row>
    <row r="460" spans="1:44" ht="13.2">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c r="AL460" s="84"/>
      <c r="AM460" s="84"/>
      <c r="AN460" s="84"/>
      <c r="AO460" s="84"/>
      <c r="AP460" s="84"/>
      <c r="AQ460" s="84"/>
      <c r="AR460" s="84"/>
    </row>
    <row r="461" spans="1:44" ht="13.2">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c r="AL461" s="84"/>
      <c r="AM461" s="84"/>
      <c r="AN461" s="84"/>
      <c r="AO461" s="84"/>
      <c r="AP461" s="84"/>
      <c r="AQ461" s="84"/>
      <c r="AR461" s="84"/>
    </row>
    <row r="462" spans="1:44" ht="13.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c r="AL462" s="84"/>
      <c r="AM462" s="84"/>
      <c r="AN462" s="84"/>
      <c r="AO462" s="84"/>
      <c r="AP462" s="84"/>
      <c r="AQ462" s="84"/>
      <c r="AR462" s="84"/>
    </row>
    <row r="463" spans="1:44" ht="13.2">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c r="AL463" s="84"/>
      <c r="AM463" s="84"/>
      <c r="AN463" s="84"/>
      <c r="AO463" s="84"/>
      <c r="AP463" s="84"/>
      <c r="AQ463" s="84"/>
      <c r="AR463" s="84"/>
    </row>
    <row r="464" spans="1:44" ht="13.2">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c r="AL464" s="84"/>
      <c r="AM464" s="84"/>
      <c r="AN464" s="84"/>
      <c r="AO464" s="84"/>
      <c r="AP464" s="84"/>
      <c r="AQ464" s="84"/>
      <c r="AR464" s="84"/>
    </row>
    <row r="465" spans="1:44" ht="13.2">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c r="AL465" s="84"/>
      <c r="AM465" s="84"/>
      <c r="AN465" s="84"/>
      <c r="AO465" s="84"/>
      <c r="AP465" s="84"/>
      <c r="AQ465" s="84"/>
      <c r="AR465" s="84"/>
    </row>
    <row r="466" spans="1:44" ht="13.2">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c r="AL466" s="84"/>
      <c r="AM466" s="84"/>
      <c r="AN466" s="84"/>
      <c r="AO466" s="84"/>
      <c r="AP466" s="84"/>
      <c r="AQ466" s="84"/>
      <c r="AR466" s="84"/>
    </row>
    <row r="467" spans="1:44" ht="13.2">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c r="AL467" s="84"/>
      <c r="AM467" s="84"/>
      <c r="AN467" s="84"/>
      <c r="AO467" s="84"/>
      <c r="AP467" s="84"/>
      <c r="AQ467" s="84"/>
      <c r="AR467" s="84"/>
    </row>
    <row r="468" spans="1:44" ht="13.2">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c r="AL468" s="84"/>
      <c r="AM468" s="84"/>
      <c r="AN468" s="84"/>
      <c r="AO468" s="84"/>
      <c r="AP468" s="84"/>
      <c r="AQ468" s="84"/>
      <c r="AR468" s="84"/>
    </row>
    <row r="469" spans="1:44" ht="13.2">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c r="AL469" s="84"/>
      <c r="AM469" s="84"/>
      <c r="AN469" s="84"/>
      <c r="AO469" s="84"/>
      <c r="AP469" s="84"/>
      <c r="AQ469" s="84"/>
      <c r="AR469" s="84"/>
    </row>
    <row r="470" spans="1:44" ht="13.2">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c r="AL470" s="84"/>
      <c r="AM470" s="84"/>
      <c r="AN470" s="84"/>
      <c r="AO470" s="84"/>
      <c r="AP470" s="84"/>
      <c r="AQ470" s="84"/>
      <c r="AR470" s="84"/>
    </row>
    <row r="471" spans="1:44" ht="13.2">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c r="AL471" s="84"/>
      <c r="AM471" s="84"/>
      <c r="AN471" s="84"/>
      <c r="AO471" s="84"/>
      <c r="AP471" s="84"/>
      <c r="AQ471" s="84"/>
      <c r="AR471" s="84"/>
    </row>
    <row r="472" spans="1:44" ht="13.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c r="AL472" s="84"/>
      <c r="AM472" s="84"/>
      <c r="AN472" s="84"/>
      <c r="AO472" s="84"/>
      <c r="AP472" s="84"/>
      <c r="AQ472" s="84"/>
      <c r="AR472" s="84"/>
    </row>
    <row r="473" spans="1:44" ht="13.2">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c r="AL473" s="84"/>
      <c r="AM473" s="84"/>
      <c r="AN473" s="84"/>
      <c r="AO473" s="84"/>
      <c r="AP473" s="84"/>
      <c r="AQ473" s="84"/>
      <c r="AR473" s="84"/>
    </row>
    <row r="474" spans="1:44" ht="13.2">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c r="AL474" s="84"/>
      <c r="AM474" s="84"/>
      <c r="AN474" s="84"/>
      <c r="AO474" s="84"/>
      <c r="AP474" s="84"/>
      <c r="AQ474" s="84"/>
      <c r="AR474" s="84"/>
    </row>
    <row r="475" spans="1:44" ht="13.2">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c r="AL475" s="84"/>
      <c r="AM475" s="84"/>
      <c r="AN475" s="84"/>
      <c r="AO475" s="84"/>
      <c r="AP475" s="84"/>
      <c r="AQ475" s="84"/>
      <c r="AR475" s="84"/>
    </row>
    <row r="476" spans="1:44" ht="13.2">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c r="AK476" s="84"/>
      <c r="AL476" s="84"/>
      <c r="AM476" s="84"/>
      <c r="AN476" s="84"/>
      <c r="AO476" s="84"/>
      <c r="AP476" s="84"/>
      <c r="AQ476" s="84"/>
      <c r="AR476" s="84"/>
    </row>
    <row r="477" spans="1:44" ht="13.2">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c r="AK477" s="84"/>
      <c r="AL477" s="84"/>
      <c r="AM477" s="84"/>
      <c r="AN477" s="84"/>
      <c r="AO477" s="84"/>
      <c r="AP477" s="84"/>
      <c r="AQ477" s="84"/>
      <c r="AR477" s="84"/>
    </row>
    <row r="478" spans="1:44" ht="13.2">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c r="AK478" s="84"/>
      <c r="AL478" s="84"/>
      <c r="AM478" s="84"/>
      <c r="AN478" s="84"/>
      <c r="AO478" s="84"/>
      <c r="AP478" s="84"/>
      <c r="AQ478" s="84"/>
      <c r="AR478" s="84"/>
    </row>
    <row r="479" spans="1:44" ht="13.2">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c r="AK479" s="84"/>
      <c r="AL479" s="84"/>
      <c r="AM479" s="84"/>
      <c r="AN479" s="84"/>
      <c r="AO479" s="84"/>
      <c r="AP479" s="84"/>
      <c r="AQ479" s="84"/>
      <c r="AR479" s="84"/>
    </row>
    <row r="480" spans="1:44" ht="13.2">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c r="AK480" s="84"/>
      <c r="AL480" s="84"/>
      <c r="AM480" s="84"/>
      <c r="AN480" s="84"/>
      <c r="AO480" s="84"/>
      <c r="AP480" s="84"/>
      <c r="AQ480" s="84"/>
      <c r="AR480" s="84"/>
    </row>
    <row r="481" spans="1:44" ht="13.2">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c r="AK481" s="84"/>
      <c r="AL481" s="84"/>
      <c r="AM481" s="84"/>
      <c r="AN481" s="84"/>
      <c r="AO481" s="84"/>
      <c r="AP481" s="84"/>
      <c r="AQ481" s="84"/>
      <c r="AR481" s="84"/>
    </row>
    <row r="482" spans="1:44" ht="13.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c r="AK482" s="84"/>
      <c r="AL482" s="84"/>
      <c r="AM482" s="84"/>
      <c r="AN482" s="84"/>
      <c r="AO482" s="84"/>
      <c r="AP482" s="84"/>
      <c r="AQ482" s="84"/>
      <c r="AR482" s="84"/>
    </row>
    <row r="483" spans="1:44" ht="13.2">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c r="AK483" s="84"/>
      <c r="AL483" s="84"/>
      <c r="AM483" s="84"/>
      <c r="AN483" s="84"/>
      <c r="AO483" s="84"/>
      <c r="AP483" s="84"/>
      <c r="AQ483" s="84"/>
      <c r="AR483" s="84"/>
    </row>
    <row r="484" spans="1:44" ht="13.2">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c r="AK484" s="84"/>
      <c r="AL484" s="84"/>
      <c r="AM484" s="84"/>
      <c r="AN484" s="84"/>
      <c r="AO484" s="84"/>
      <c r="AP484" s="84"/>
      <c r="AQ484" s="84"/>
      <c r="AR484" s="84"/>
    </row>
    <row r="485" spans="1:44" ht="13.2">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c r="AK485" s="84"/>
      <c r="AL485" s="84"/>
      <c r="AM485" s="84"/>
      <c r="AN485" s="84"/>
      <c r="AO485" s="84"/>
      <c r="AP485" s="84"/>
      <c r="AQ485" s="84"/>
      <c r="AR485" s="84"/>
    </row>
    <row r="486" spans="1:44" ht="13.2">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c r="AK486" s="84"/>
      <c r="AL486" s="84"/>
      <c r="AM486" s="84"/>
      <c r="AN486" s="84"/>
      <c r="AO486" s="84"/>
      <c r="AP486" s="84"/>
      <c r="AQ486" s="84"/>
      <c r="AR486" s="84"/>
    </row>
    <row r="487" spans="1:44" ht="13.2">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c r="AL487" s="84"/>
      <c r="AM487" s="84"/>
      <c r="AN487" s="84"/>
      <c r="AO487" s="84"/>
      <c r="AP487" s="84"/>
      <c r="AQ487" s="84"/>
      <c r="AR487" s="84"/>
    </row>
    <row r="488" spans="1:44" ht="13.2">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c r="AK488" s="84"/>
      <c r="AL488" s="84"/>
      <c r="AM488" s="84"/>
      <c r="AN488" s="84"/>
      <c r="AO488" s="84"/>
      <c r="AP488" s="84"/>
      <c r="AQ488" s="84"/>
      <c r="AR488" s="84"/>
    </row>
    <row r="489" spans="1:44" ht="13.2">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c r="AK489" s="84"/>
      <c r="AL489" s="84"/>
      <c r="AM489" s="84"/>
      <c r="AN489" s="84"/>
      <c r="AO489" s="84"/>
      <c r="AP489" s="84"/>
      <c r="AQ489" s="84"/>
      <c r="AR489" s="84"/>
    </row>
    <row r="490" spans="1:44" ht="13.2">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c r="AK490" s="84"/>
      <c r="AL490" s="84"/>
      <c r="AM490" s="84"/>
      <c r="AN490" s="84"/>
      <c r="AO490" s="84"/>
      <c r="AP490" s="84"/>
      <c r="AQ490" s="84"/>
      <c r="AR490" s="84"/>
    </row>
    <row r="491" spans="1:44" ht="13.2">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c r="AK491" s="84"/>
      <c r="AL491" s="84"/>
      <c r="AM491" s="84"/>
      <c r="AN491" s="84"/>
      <c r="AO491" s="84"/>
      <c r="AP491" s="84"/>
      <c r="AQ491" s="84"/>
      <c r="AR491" s="84"/>
    </row>
    <row r="492" spans="1:44" ht="13.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c r="AK492" s="84"/>
      <c r="AL492" s="84"/>
      <c r="AM492" s="84"/>
      <c r="AN492" s="84"/>
      <c r="AO492" s="84"/>
      <c r="AP492" s="84"/>
      <c r="AQ492" s="84"/>
      <c r="AR492" s="84"/>
    </row>
    <row r="493" spans="1:44" ht="13.2">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c r="AK493" s="84"/>
      <c r="AL493" s="84"/>
      <c r="AM493" s="84"/>
      <c r="AN493" s="84"/>
      <c r="AO493" s="84"/>
      <c r="AP493" s="84"/>
      <c r="AQ493" s="84"/>
      <c r="AR493" s="84"/>
    </row>
    <row r="494" spans="1:44" ht="13.2">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c r="AK494" s="84"/>
      <c r="AL494" s="84"/>
      <c r="AM494" s="84"/>
      <c r="AN494" s="84"/>
      <c r="AO494" s="84"/>
      <c r="AP494" s="84"/>
      <c r="AQ494" s="84"/>
      <c r="AR494" s="84"/>
    </row>
    <row r="495" spans="1:44" ht="13.2">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c r="AK495" s="84"/>
      <c r="AL495" s="84"/>
      <c r="AM495" s="84"/>
      <c r="AN495" s="84"/>
      <c r="AO495" s="84"/>
      <c r="AP495" s="84"/>
      <c r="AQ495" s="84"/>
      <c r="AR495" s="84"/>
    </row>
    <row r="496" spans="1:44" ht="13.2">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c r="AK496" s="84"/>
      <c r="AL496" s="84"/>
      <c r="AM496" s="84"/>
      <c r="AN496" s="84"/>
      <c r="AO496" s="84"/>
      <c r="AP496" s="84"/>
      <c r="AQ496" s="84"/>
      <c r="AR496" s="84"/>
    </row>
    <row r="497" spans="1:44" ht="13.2">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c r="AL497" s="84"/>
      <c r="AM497" s="84"/>
      <c r="AN497" s="84"/>
      <c r="AO497" s="84"/>
      <c r="AP497" s="84"/>
      <c r="AQ497" s="84"/>
      <c r="AR497" s="84"/>
    </row>
    <row r="498" spans="1:44" ht="13.2">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c r="AK498" s="84"/>
      <c r="AL498" s="84"/>
      <c r="AM498" s="84"/>
      <c r="AN498" s="84"/>
      <c r="AO498" s="84"/>
      <c r="AP498" s="84"/>
      <c r="AQ498" s="84"/>
      <c r="AR498" s="84"/>
    </row>
    <row r="499" spans="1:44" ht="13.2">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c r="AL499" s="84"/>
      <c r="AM499" s="84"/>
      <c r="AN499" s="84"/>
      <c r="AO499" s="84"/>
      <c r="AP499" s="84"/>
      <c r="AQ499" s="84"/>
      <c r="AR499" s="84"/>
    </row>
    <row r="500" spans="1:44" ht="13.2">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c r="AL500" s="84"/>
      <c r="AM500" s="84"/>
      <c r="AN500" s="84"/>
      <c r="AO500" s="84"/>
      <c r="AP500" s="84"/>
      <c r="AQ500" s="84"/>
      <c r="AR500" s="84"/>
    </row>
    <row r="501" spans="1:44" ht="13.2">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c r="AL501" s="84"/>
      <c r="AM501" s="84"/>
      <c r="AN501" s="84"/>
      <c r="AO501" s="84"/>
      <c r="AP501" s="84"/>
      <c r="AQ501" s="84"/>
      <c r="AR501" s="84"/>
    </row>
    <row r="502" spans="1:44" ht="13.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c r="AL502" s="84"/>
      <c r="AM502" s="84"/>
      <c r="AN502" s="84"/>
      <c r="AO502" s="84"/>
      <c r="AP502" s="84"/>
      <c r="AQ502" s="84"/>
      <c r="AR502" s="84"/>
    </row>
    <row r="503" spans="1:44" ht="13.2">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c r="AL503" s="84"/>
      <c r="AM503" s="84"/>
      <c r="AN503" s="84"/>
      <c r="AO503" s="84"/>
      <c r="AP503" s="84"/>
      <c r="AQ503" s="84"/>
      <c r="AR503" s="84"/>
    </row>
    <row r="504" spans="1:44" ht="13.2">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c r="AL504" s="84"/>
      <c r="AM504" s="84"/>
      <c r="AN504" s="84"/>
      <c r="AO504" s="84"/>
      <c r="AP504" s="84"/>
      <c r="AQ504" s="84"/>
      <c r="AR504" s="84"/>
    </row>
    <row r="505" spans="1:44" ht="13.2">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c r="AL505" s="84"/>
      <c r="AM505" s="84"/>
      <c r="AN505" s="84"/>
      <c r="AO505" s="84"/>
      <c r="AP505" s="84"/>
      <c r="AQ505" s="84"/>
      <c r="AR505" s="84"/>
    </row>
    <row r="506" spans="1:44" ht="13.2">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c r="AL506" s="84"/>
      <c r="AM506" s="84"/>
      <c r="AN506" s="84"/>
      <c r="AO506" s="84"/>
      <c r="AP506" s="84"/>
      <c r="AQ506" s="84"/>
      <c r="AR506" s="84"/>
    </row>
    <row r="507" spans="1:44" ht="13.2">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c r="AL507" s="84"/>
      <c r="AM507" s="84"/>
      <c r="AN507" s="84"/>
      <c r="AO507" s="84"/>
      <c r="AP507" s="84"/>
      <c r="AQ507" s="84"/>
      <c r="AR507" s="84"/>
    </row>
    <row r="508" spans="1:44" ht="13.2">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c r="AL508" s="84"/>
      <c r="AM508" s="84"/>
      <c r="AN508" s="84"/>
      <c r="AO508" s="84"/>
      <c r="AP508" s="84"/>
      <c r="AQ508" s="84"/>
      <c r="AR508" s="84"/>
    </row>
    <row r="509" spans="1:44" ht="13.2">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c r="AL509" s="84"/>
      <c r="AM509" s="84"/>
      <c r="AN509" s="84"/>
      <c r="AO509" s="84"/>
      <c r="AP509" s="84"/>
      <c r="AQ509" s="84"/>
      <c r="AR509" s="84"/>
    </row>
    <row r="510" spans="1:44" ht="13.2">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c r="AL510" s="84"/>
      <c r="AM510" s="84"/>
      <c r="AN510" s="84"/>
      <c r="AO510" s="84"/>
      <c r="AP510" s="84"/>
      <c r="AQ510" s="84"/>
      <c r="AR510" s="84"/>
    </row>
    <row r="511" spans="1:44" ht="13.2">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c r="AL511" s="84"/>
      <c r="AM511" s="84"/>
      <c r="AN511" s="84"/>
      <c r="AO511" s="84"/>
      <c r="AP511" s="84"/>
      <c r="AQ511" s="84"/>
      <c r="AR511" s="84"/>
    </row>
    <row r="512" spans="1:44" ht="13.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c r="AL512" s="84"/>
      <c r="AM512" s="84"/>
      <c r="AN512" s="84"/>
      <c r="AO512" s="84"/>
      <c r="AP512" s="84"/>
      <c r="AQ512" s="84"/>
      <c r="AR512" s="84"/>
    </row>
    <row r="513" spans="1:44" ht="13.2">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c r="AL513" s="84"/>
      <c r="AM513" s="84"/>
      <c r="AN513" s="84"/>
      <c r="AO513" s="84"/>
      <c r="AP513" s="84"/>
      <c r="AQ513" s="84"/>
      <c r="AR513" s="84"/>
    </row>
    <row r="514" spans="1:44" ht="13.2">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c r="AL514" s="84"/>
      <c r="AM514" s="84"/>
      <c r="AN514" s="84"/>
      <c r="AO514" s="84"/>
      <c r="AP514" s="84"/>
      <c r="AQ514" s="84"/>
      <c r="AR514" s="84"/>
    </row>
    <row r="515" spans="1:44" ht="13.2">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c r="AL515" s="84"/>
      <c r="AM515" s="84"/>
      <c r="AN515" s="84"/>
      <c r="AO515" s="84"/>
      <c r="AP515" s="84"/>
      <c r="AQ515" s="84"/>
      <c r="AR515" s="84"/>
    </row>
    <row r="516" spans="1:44" ht="13.2">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c r="AL516" s="84"/>
      <c r="AM516" s="84"/>
      <c r="AN516" s="84"/>
      <c r="AO516" s="84"/>
      <c r="AP516" s="84"/>
      <c r="AQ516" s="84"/>
      <c r="AR516" s="84"/>
    </row>
    <row r="517" spans="1:44" ht="13.2">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c r="AL517" s="84"/>
      <c r="AM517" s="84"/>
      <c r="AN517" s="84"/>
      <c r="AO517" s="84"/>
      <c r="AP517" s="84"/>
      <c r="AQ517" s="84"/>
      <c r="AR517" s="84"/>
    </row>
    <row r="518" spans="1:44" ht="13.2">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c r="AL518" s="84"/>
      <c r="AM518" s="84"/>
      <c r="AN518" s="84"/>
      <c r="AO518" s="84"/>
      <c r="AP518" s="84"/>
      <c r="AQ518" s="84"/>
      <c r="AR518" s="84"/>
    </row>
    <row r="519" spans="1:44" ht="13.2">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c r="AL519" s="84"/>
      <c r="AM519" s="84"/>
      <c r="AN519" s="84"/>
      <c r="AO519" s="84"/>
      <c r="AP519" s="84"/>
      <c r="AQ519" s="84"/>
      <c r="AR519" s="84"/>
    </row>
    <row r="520" spans="1:44" ht="13.2">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c r="AL520" s="84"/>
      <c r="AM520" s="84"/>
      <c r="AN520" s="84"/>
      <c r="AO520" s="84"/>
      <c r="AP520" s="84"/>
      <c r="AQ520" s="84"/>
      <c r="AR520" s="84"/>
    </row>
    <row r="521" spans="1:44" ht="13.2">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c r="AL521" s="84"/>
      <c r="AM521" s="84"/>
      <c r="AN521" s="84"/>
      <c r="AO521" s="84"/>
      <c r="AP521" s="84"/>
      <c r="AQ521" s="84"/>
      <c r="AR521" s="84"/>
    </row>
    <row r="522" spans="1:44" ht="13.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c r="AL522" s="84"/>
      <c r="AM522" s="84"/>
      <c r="AN522" s="84"/>
      <c r="AO522" s="84"/>
      <c r="AP522" s="84"/>
      <c r="AQ522" s="84"/>
      <c r="AR522" s="84"/>
    </row>
    <row r="523" spans="1:44" ht="13.2">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c r="AL523" s="84"/>
      <c r="AM523" s="84"/>
      <c r="AN523" s="84"/>
      <c r="AO523" s="84"/>
      <c r="AP523" s="84"/>
      <c r="AQ523" s="84"/>
      <c r="AR523" s="84"/>
    </row>
    <row r="524" spans="1:44" ht="13.2">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c r="AL524" s="84"/>
      <c r="AM524" s="84"/>
      <c r="AN524" s="84"/>
      <c r="AO524" s="84"/>
      <c r="AP524" s="84"/>
      <c r="AQ524" s="84"/>
      <c r="AR524" s="84"/>
    </row>
    <row r="525" spans="1:44" ht="13.2">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c r="AL525" s="84"/>
      <c r="AM525" s="84"/>
      <c r="AN525" s="84"/>
      <c r="AO525" s="84"/>
      <c r="AP525" s="84"/>
      <c r="AQ525" s="84"/>
      <c r="AR525" s="84"/>
    </row>
    <row r="526" spans="1:44" ht="13.2">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c r="AL526" s="84"/>
      <c r="AM526" s="84"/>
      <c r="AN526" s="84"/>
      <c r="AO526" s="84"/>
      <c r="AP526" s="84"/>
      <c r="AQ526" s="84"/>
      <c r="AR526" s="84"/>
    </row>
    <row r="527" spans="1:44" ht="13.2">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c r="AL527" s="84"/>
      <c r="AM527" s="84"/>
      <c r="AN527" s="84"/>
      <c r="AO527" s="84"/>
      <c r="AP527" s="84"/>
      <c r="AQ527" s="84"/>
      <c r="AR527" s="84"/>
    </row>
    <row r="528" spans="1:44" ht="13.2">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c r="AL528" s="84"/>
      <c r="AM528" s="84"/>
      <c r="AN528" s="84"/>
      <c r="AO528" s="84"/>
      <c r="AP528" s="84"/>
      <c r="AQ528" s="84"/>
      <c r="AR528" s="84"/>
    </row>
    <row r="529" spans="1:44" ht="13.2">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c r="AL529" s="84"/>
      <c r="AM529" s="84"/>
      <c r="AN529" s="84"/>
      <c r="AO529" s="84"/>
      <c r="AP529" s="84"/>
      <c r="AQ529" s="84"/>
      <c r="AR529" s="84"/>
    </row>
    <row r="530" spans="1:44" ht="13.2">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c r="AL530" s="84"/>
      <c r="AM530" s="84"/>
      <c r="AN530" s="84"/>
      <c r="AO530" s="84"/>
      <c r="AP530" s="84"/>
      <c r="AQ530" s="84"/>
      <c r="AR530" s="84"/>
    </row>
    <row r="531" spans="1:44" ht="13.2">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c r="AL531" s="84"/>
      <c r="AM531" s="84"/>
      <c r="AN531" s="84"/>
      <c r="AO531" s="84"/>
      <c r="AP531" s="84"/>
      <c r="AQ531" s="84"/>
      <c r="AR531" s="84"/>
    </row>
    <row r="532" spans="1:44" ht="1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c r="AL532" s="84"/>
      <c r="AM532" s="84"/>
      <c r="AN532" s="84"/>
      <c r="AO532" s="84"/>
      <c r="AP532" s="84"/>
      <c r="AQ532" s="84"/>
      <c r="AR532" s="84"/>
    </row>
    <row r="533" spans="1:44" ht="13.2">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c r="AL533" s="84"/>
      <c r="AM533" s="84"/>
      <c r="AN533" s="84"/>
      <c r="AO533" s="84"/>
      <c r="AP533" s="84"/>
      <c r="AQ533" s="84"/>
      <c r="AR533" s="84"/>
    </row>
    <row r="534" spans="1:44" ht="13.2">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c r="AL534" s="84"/>
      <c r="AM534" s="84"/>
      <c r="AN534" s="84"/>
      <c r="AO534" s="84"/>
      <c r="AP534" s="84"/>
      <c r="AQ534" s="84"/>
      <c r="AR534" s="84"/>
    </row>
    <row r="535" spans="1:44" ht="13.2">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c r="AL535" s="84"/>
      <c r="AM535" s="84"/>
      <c r="AN535" s="84"/>
      <c r="AO535" s="84"/>
      <c r="AP535" s="84"/>
      <c r="AQ535" s="84"/>
      <c r="AR535" s="84"/>
    </row>
    <row r="536" spans="1:44" ht="13.2">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c r="AL536" s="84"/>
      <c r="AM536" s="84"/>
      <c r="AN536" s="84"/>
      <c r="AO536" s="84"/>
      <c r="AP536" s="84"/>
      <c r="AQ536" s="84"/>
      <c r="AR536" s="84"/>
    </row>
    <row r="537" spans="1:44" ht="13.2">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c r="AL537" s="84"/>
      <c r="AM537" s="84"/>
      <c r="AN537" s="84"/>
      <c r="AO537" s="84"/>
      <c r="AP537" s="84"/>
      <c r="AQ537" s="84"/>
      <c r="AR537" s="84"/>
    </row>
    <row r="538" spans="1:44" ht="13.2">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c r="AL538" s="84"/>
      <c r="AM538" s="84"/>
      <c r="AN538" s="84"/>
      <c r="AO538" s="84"/>
      <c r="AP538" s="84"/>
      <c r="AQ538" s="84"/>
      <c r="AR538" s="84"/>
    </row>
    <row r="539" spans="1:44" ht="13.2">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c r="AL539" s="84"/>
      <c r="AM539" s="84"/>
      <c r="AN539" s="84"/>
      <c r="AO539" s="84"/>
      <c r="AP539" s="84"/>
      <c r="AQ539" s="84"/>
      <c r="AR539" s="84"/>
    </row>
    <row r="540" spans="1:44" ht="13.2">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c r="AL540" s="84"/>
      <c r="AM540" s="84"/>
      <c r="AN540" s="84"/>
      <c r="AO540" s="84"/>
      <c r="AP540" s="84"/>
      <c r="AQ540" s="84"/>
      <c r="AR540" s="84"/>
    </row>
    <row r="541" spans="1:44" ht="13.2">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c r="AL541" s="84"/>
      <c r="AM541" s="84"/>
      <c r="AN541" s="84"/>
      <c r="AO541" s="84"/>
      <c r="AP541" s="84"/>
      <c r="AQ541" s="84"/>
      <c r="AR541" s="84"/>
    </row>
    <row r="542" spans="1:44" ht="13.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c r="AL542" s="84"/>
      <c r="AM542" s="84"/>
      <c r="AN542" s="84"/>
      <c r="AO542" s="84"/>
      <c r="AP542" s="84"/>
      <c r="AQ542" s="84"/>
      <c r="AR542" s="84"/>
    </row>
    <row r="543" spans="1:44" ht="13.2">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c r="AL543" s="84"/>
      <c r="AM543" s="84"/>
      <c r="AN543" s="84"/>
      <c r="AO543" s="84"/>
      <c r="AP543" s="84"/>
      <c r="AQ543" s="84"/>
      <c r="AR543" s="84"/>
    </row>
    <row r="544" spans="1:44" ht="13.2">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c r="AL544" s="84"/>
      <c r="AM544" s="84"/>
      <c r="AN544" s="84"/>
      <c r="AO544" s="84"/>
      <c r="AP544" s="84"/>
      <c r="AQ544" s="84"/>
      <c r="AR544" s="84"/>
    </row>
    <row r="545" spans="1:44" ht="13.2">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c r="AL545" s="84"/>
      <c r="AM545" s="84"/>
      <c r="AN545" s="84"/>
      <c r="AO545" s="84"/>
      <c r="AP545" s="84"/>
      <c r="AQ545" s="84"/>
      <c r="AR545" s="84"/>
    </row>
    <row r="546" spans="1:44" ht="13.2">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c r="AL546" s="84"/>
      <c r="AM546" s="84"/>
      <c r="AN546" s="84"/>
      <c r="AO546" s="84"/>
      <c r="AP546" s="84"/>
      <c r="AQ546" s="84"/>
      <c r="AR546" s="84"/>
    </row>
    <row r="547" spans="1:44" ht="13.2">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c r="AL547" s="84"/>
      <c r="AM547" s="84"/>
      <c r="AN547" s="84"/>
      <c r="AO547" s="84"/>
      <c r="AP547" s="84"/>
      <c r="AQ547" s="84"/>
      <c r="AR547" s="84"/>
    </row>
    <row r="548" spans="1:44" ht="13.2">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c r="AN548" s="84"/>
      <c r="AO548" s="84"/>
      <c r="AP548" s="84"/>
      <c r="AQ548" s="84"/>
      <c r="AR548" s="84"/>
    </row>
    <row r="549" spans="1:44" ht="13.2">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c r="AL549" s="84"/>
      <c r="AM549" s="84"/>
      <c r="AN549" s="84"/>
      <c r="AO549" s="84"/>
      <c r="AP549" s="84"/>
      <c r="AQ549" s="84"/>
      <c r="AR549" s="84"/>
    </row>
    <row r="550" spans="1:44" ht="13.2">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c r="AL550" s="84"/>
      <c r="AM550" s="84"/>
      <c r="AN550" s="84"/>
      <c r="AO550" s="84"/>
      <c r="AP550" s="84"/>
      <c r="AQ550" s="84"/>
      <c r="AR550" s="84"/>
    </row>
    <row r="551" spans="1:44" ht="13.2">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c r="AL551" s="84"/>
      <c r="AM551" s="84"/>
      <c r="AN551" s="84"/>
      <c r="AO551" s="84"/>
      <c r="AP551" s="84"/>
      <c r="AQ551" s="84"/>
      <c r="AR551" s="84"/>
    </row>
    <row r="552" spans="1:44" ht="13.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c r="AL552" s="84"/>
      <c r="AM552" s="84"/>
      <c r="AN552" s="84"/>
      <c r="AO552" s="84"/>
      <c r="AP552" s="84"/>
      <c r="AQ552" s="84"/>
      <c r="AR552" s="84"/>
    </row>
    <row r="553" spans="1:44" ht="13.2">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c r="AL553" s="84"/>
      <c r="AM553" s="84"/>
      <c r="AN553" s="84"/>
      <c r="AO553" s="84"/>
      <c r="AP553" s="84"/>
      <c r="AQ553" s="84"/>
      <c r="AR553" s="84"/>
    </row>
    <row r="554" spans="1:44" ht="13.2">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c r="AL554" s="84"/>
      <c r="AM554" s="84"/>
      <c r="AN554" s="84"/>
      <c r="AO554" s="84"/>
      <c r="AP554" s="84"/>
      <c r="AQ554" s="84"/>
      <c r="AR554" s="84"/>
    </row>
    <row r="555" spans="1:44" ht="13.2">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c r="AL555" s="84"/>
      <c r="AM555" s="84"/>
      <c r="AN555" s="84"/>
      <c r="AO555" s="84"/>
      <c r="AP555" s="84"/>
      <c r="AQ555" s="84"/>
      <c r="AR555" s="84"/>
    </row>
    <row r="556" spans="1:44" ht="13.2">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c r="AL556" s="84"/>
      <c r="AM556" s="84"/>
      <c r="AN556" s="84"/>
      <c r="AO556" s="84"/>
      <c r="AP556" s="84"/>
      <c r="AQ556" s="84"/>
      <c r="AR556" s="84"/>
    </row>
    <row r="557" spans="1:44" ht="13.2">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c r="AL557" s="84"/>
      <c r="AM557" s="84"/>
      <c r="AN557" s="84"/>
      <c r="AO557" s="84"/>
      <c r="AP557" s="84"/>
      <c r="AQ557" s="84"/>
      <c r="AR557" s="84"/>
    </row>
    <row r="558" spans="1:44" ht="13.2">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c r="AL558" s="84"/>
      <c r="AM558" s="84"/>
      <c r="AN558" s="84"/>
      <c r="AO558" s="84"/>
      <c r="AP558" s="84"/>
      <c r="AQ558" s="84"/>
      <c r="AR558" s="84"/>
    </row>
    <row r="559" spans="1:44" ht="13.2">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c r="AL559" s="84"/>
      <c r="AM559" s="84"/>
      <c r="AN559" s="84"/>
      <c r="AO559" s="84"/>
      <c r="AP559" s="84"/>
      <c r="AQ559" s="84"/>
      <c r="AR559" s="84"/>
    </row>
    <row r="560" spans="1:44" ht="13.2">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c r="AL560" s="84"/>
      <c r="AM560" s="84"/>
      <c r="AN560" s="84"/>
      <c r="AO560" s="84"/>
      <c r="AP560" s="84"/>
      <c r="AQ560" s="84"/>
      <c r="AR560" s="84"/>
    </row>
    <row r="561" spans="1:44" ht="13.2">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c r="AL561" s="84"/>
      <c r="AM561" s="84"/>
      <c r="AN561" s="84"/>
      <c r="AO561" s="84"/>
      <c r="AP561" s="84"/>
      <c r="AQ561" s="84"/>
      <c r="AR561" s="84"/>
    </row>
    <row r="562" spans="1:44" ht="13.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c r="AL562" s="84"/>
      <c r="AM562" s="84"/>
      <c r="AN562" s="84"/>
      <c r="AO562" s="84"/>
      <c r="AP562" s="84"/>
      <c r="AQ562" s="84"/>
      <c r="AR562" s="84"/>
    </row>
    <row r="563" spans="1:44" ht="13.2">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c r="AL563" s="84"/>
      <c r="AM563" s="84"/>
      <c r="AN563" s="84"/>
      <c r="AO563" s="84"/>
      <c r="AP563" s="84"/>
      <c r="AQ563" s="84"/>
      <c r="AR563" s="84"/>
    </row>
    <row r="564" spans="1:44" ht="13.2">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c r="AL564" s="84"/>
      <c r="AM564" s="84"/>
      <c r="AN564" s="84"/>
      <c r="AO564" s="84"/>
      <c r="AP564" s="84"/>
      <c r="AQ564" s="84"/>
      <c r="AR564" s="84"/>
    </row>
    <row r="565" spans="1:44" ht="13.2">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c r="AL565" s="84"/>
      <c r="AM565" s="84"/>
      <c r="AN565" s="84"/>
      <c r="AO565" s="84"/>
      <c r="AP565" s="84"/>
      <c r="AQ565" s="84"/>
      <c r="AR565" s="84"/>
    </row>
    <row r="566" spans="1:44" ht="13.2">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c r="AL566" s="84"/>
      <c r="AM566" s="84"/>
      <c r="AN566" s="84"/>
      <c r="AO566" s="84"/>
      <c r="AP566" s="84"/>
      <c r="AQ566" s="84"/>
      <c r="AR566" s="84"/>
    </row>
    <row r="567" spans="1:44" ht="13.2">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c r="AL567" s="84"/>
      <c r="AM567" s="84"/>
      <c r="AN567" s="84"/>
      <c r="AO567" s="84"/>
      <c r="AP567" s="84"/>
      <c r="AQ567" s="84"/>
      <c r="AR567" s="84"/>
    </row>
    <row r="568" spans="1:44" ht="13.2">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c r="AL568" s="84"/>
      <c r="AM568" s="84"/>
      <c r="AN568" s="84"/>
      <c r="AO568" s="84"/>
      <c r="AP568" s="84"/>
      <c r="AQ568" s="84"/>
      <c r="AR568" s="84"/>
    </row>
    <row r="569" spans="1:44" ht="13.2">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c r="AL569" s="84"/>
      <c r="AM569" s="84"/>
      <c r="AN569" s="84"/>
      <c r="AO569" s="84"/>
      <c r="AP569" s="84"/>
      <c r="AQ569" s="84"/>
      <c r="AR569" s="84"/>
    </row>
    <row r="570" spans="1:44" ht="13.2">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c r="AL570" s="84"/>
      <c r="AM570" s="84"/>
      <c r="AN570" s="84"/>
      <c r="AO570" s="84"/>
      <c r="AP570" s="84"/>
      <c r="AQ570" s="84"/>
      <c r="AR570" s="84"/>
    </row>
    <row r="571" spans="1:44" ht="13.2">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c r="AL571" s="84"/>
      <c r="AM571" s="84"/>
      <c r="AN571" s="84"/>
      <c r="AO571" s="84"/>
      <c r="AP571" s="84"/>
      <c r="AQ571" s="84"/>
      <c r="AR571" s="84"/>
    </row>
    <row r="572" spans="1:44" ht="13.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c r="AL572" s="84"/>
      <c r="AM572" s="84"/>
      <c r="AN572" s="84"/>
      <c r="AO572" s="84"/>
      <c r="AP572" s="84"/>
      <c r="AQ572" s="84"/>
      <c r="AR572" s="84"/>
    </row>
    <row r="573" spans="1:44" ht="13.2">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c r="AN573" s="84"/>
      <c r="AO573" s="84"/>
      <c r="AP573" s="84"/>
      <c r="AQ573" s="84"/>
      <c r="AR573" s="84"/>
    </row>
    <row r="574" spans="1:44" ht="13.2">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c r="AL574" s="84"/>
      <c r="AM574" s="84"/>
      <c r="AN574" s="84"/>
      <c r="AO574" s="84"/>
      <c r="AP574" s="84"/>
      <c r="AQ574" s="84"/>
      <c r="AR574" s="84"/>
    </row>
    <row r="575" spans="1:44" ht="13.2">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row>
    <row r="576" spans="1:44" ht="13.2">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c r="AL576" s="84"/>
      <c r="AM576" s="84"/>
      <c r="AN576" s="84"/>
      <c r="AO576" s="84"/>
      <c r="AP576" s="84"/>
      <c r="AQ576" s="84"/>
      <c r="AR576" s="84"/>
    </row>
    <row r="577" spans="1:44" ht="13.2">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c r="AL577" s="84"/>
      <c r="AM577" s="84"/>
      <c r="AN577" s="84"/>
      <c r="AO577" s="84"/>
      <c r="AP577" s="84"/>
      <c r="AQ577" s="84"/>
      <c r="AR577" s="84"/>
    </row>
    <row r="578" spans="1:44" ht="13.2">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c r="AL578" s="84"/>
      <c r="AM578" s="84"/>
      <c r="AN578" s="84"/>
      <c r="AO578" s="84"/>
      <c r="AP578" s="84"/>
      <c r="AQ578" s="84"/>
      <c r="AR578" s="84"/>
    </row>
    <row r="579" spans="1:44" ht="13.2">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c r="AL579" s="84"/>
      <c r="AM579" s="84"/>
      <c r="AN579" s="84"/>
      <c r="AO579" s="84"/>
      <c r="AP579" s="84"/>
      <c r="AQ579" s="84"/>
      <c r="AR579" s="84"/>
    </row>
    <row r="580" spans="1:44" ht="13.2">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row>
    <row r="581" spans="1:44" ht="13.2">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c r="AL581" s="84"/>
      <c r="AM581" s="84"/>
      <c r="AN581" s="84"/>
      <c r="AO581" s="84"/>
      <c r="AP581" s="84"/>
      <c r="AQ581" s="84"/>
      <c r="AR581" s="84"/>
    </row>
    <row r="582" spans="1:44" ht="13.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c r="AL582" s="84"/>
      <c r="AM582" s="84"/>
      <c r="AN582" s="84"/>
      <c r="AO582" s="84"/>
      <c r="AP582" s="84"/>
      <c r="AQ582" s="84"/>
      <c r="AR582" s="84"/>
    </row>
    <row r="583" spans="1:44" ht="13.2">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c r="AL583" s="84"/>
      <c r="AM583" s="84"/>
      <c r="AN583" s="84"/>
      <c r="AO583" s="84"/>
      <c r="AP583" s="84"/>
      <c r="AQ583" s="84"/>
      <c r="AR583" s="84"/>
    </row>
    <row r="584" spans="1:44" ht="13.2">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c r="AL584" s="84"/>
      <c r="AM584" s="84"/>
      <c r="AN584" s="84"/>
      <c r="AO584" s="84"/>
      <c r="AP584" s="84"/>
      <c r="AQ584" s="84"/>
      <c r="AR584" s="84"/>
    </row>
    <row r="585" spans="1:44" ht="13.2">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c r="AL585" s="84"/>
      <c r="AM585" s="84"/>
      <c r="AN585" s="84"/>
      <c r="AO585" s="84"/>
      <c r="AP585" s="84"/>
      <c r="AQ585" s="84"/>
      <c r="AR585" s="84"/>
    </row>
    <row r="586" spans="1:44" ht="13.2">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c r="AL586" s="84"/>
      <c r="AM586" s="84"/>
      <c r="AN586" s="84"/>
      <c r="AO586" s="84"/>
      <c r="AP586" s="84"/>
      <c r="AQ586" s="84"/>
      <c r="AR586" s="84"/>
    </row>
    <row r="587" spans="1:44" ht="13.2">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c r="AL587" s="84"/>
      <c r="AM587" s="84"/>
      <c r="AN587" s="84"/>
      <c r="AO587" s="84"/>
      <c r="AP587" s="84"/>
      <c r="AQ587" s="84"/>
      <c r="AR587" s="84"/>
    </row>
    <row r="588" spans="1:44" ht="13.2">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c r="AL588" s="84"/>
      <c r="AM588" s="84"/>
      <c r="AN588" s="84"/>
      <c r="AO588" s="84"/>
      <c r="AP588" s="84"/>
      <c r="AQ588" s="84"/>
      <c r="AR588" s="84"/>
    </row>
    <row r="589" spans="1:44" ht="13.2">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c r="AL589" s="84"/>
      <c r="AM589" s="84"/>
      <c r="AN589" s="84"/>
      <c r="AO589" s="84"/>
      <c r="AP589" s="84"/>
      <c r="AQ589" s="84"/>
      <c r="AR589" s="84"/>
    </row>
    <row r="590" spans="1:44" ht="13.2">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c r="AL590" s="84"/>
      <c r="AM590" s="84"/>
      <c r="AN590" s="84"/>
      <c r="AO590" s="84"/>
      <c r="AP590" s="84"/>
      <c r="AQ590" s="84"/>
      <c r="AR590" s="84"/>
    </row>
    <row r="591" spans="1:44" ht="13.2">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c r="AL591" s="84"/>
      <c r="AM591" s="84"/>
      <c r="AN591" s="84"/>
      <c r="AO591" s="84"/>
      <c r="AP591" s="84"/>
      <c r="AQ591" s="84"/>
      <c r="AR591" s="84"/>
    </row>
    <row r="592" spans="1:44" ht="13.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c r="AL592" s="84"/>
      <c r="AM592" s="84"/>
      <c r="AN592" s="84"/>
      <c r="AO592" s="84"/>
      <c r="AP592" s="84"/>
      <c r="AQ592" s="84"/>
      <c r="AR592" s="84"/>
    </row>
    <row r="593" spans="1:44" ht="13.2">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c r="AL593" s="84"/>
      <c r="AM593" s="84"/>
      <c r="AN593" s="84"/>
      <c r="AO593" s="84"/>
      <c r="AP593" s="84"/>
      <c r="AQ593" s="84"/>
      <c r="AR593" s="84"/>
    </row>
    <row r="594" spans="1:44" ht="13.2">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c r="AL594" s="84"/>
      <c r="AM594" s="84"/>
      <c r="AN594" s="84"/>
      <c r="AO594" s="84"/>
      <c r="AP594" s="84"/>
      <c r="AQ594" s="84"/>
      <c r="AR594" s="84"/>
    </row>
    <row r="595" spans="1:44" ht="13.2">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c r="AL595" s="84"/>
      <c r="AM595" s="84"/>
      <c r="AN595" s="84"/>
      <c r="AO595" s="84"/>
      <c r="AP595" s="84"/>
      <c r="AQ595" s="84"/>
      <c r="AR595" s="84"/>
    </row>
    <row r="596" spans="1:44" ht="13.2">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c r="AL596" s="84"/>
      <c r="AM596" s="84"/>
      <c r="AN596" s="84"/>
      <c r="AO596" s="84"/>
      <c r="AP596" s="84"/>
      <c r="AQ596" s="84"/>
      <c r="AR596" s="84"/>
    </row>
    <row r="597" spans="1:44" ht="13.2">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c r="AL597" s="84"/>
      <c r="AM597" s="84"/>
      <c r="AN597" s="84"/>
      <c r="AO597" s="84"/>
      <c r="AP597" s="84"/>
      <c r="AQ597" s="84"/>
      <c r="AR597" s="84"/>
    </row>
    <row r="598" spans="1:44" ht="13.2">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c r="AL598" s="84"/>
      <c r="AM598" s="84"/>
      <c r="AN598" s="84"/>
      <c r="AO598" s="84"/>
      <c r="AP598" s="84"/>
      <c r="AQ598" s="84"/>
      <c r="AR598" s="84"/>
    </row>
    <row r="599" spans="1:44" ht="13.2">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c r="AL599" s="84"/>
      <c r="AM599" s="84"/>
      <c r="AN599" s="84"/>
      <c r="AO599" s="84"/>
      <c r="AP599" s="84"/>
      <c r="AQ599" s="84"/>
      <c r="AR599" s="84"/>
    </row>
    <row r="600" spans="1:44" ht="13.2">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c r="AL600" s="84"/>
      <c r="AM600" s="84"/>
      <c r="AN600" s="84"/>
      <c r="AO600" s="84"/>
      <c r="AP600" s="84"/>
      <c r="AQ600" s="84"/>
      <c r="AR600" s="84"/>
    </row>
    <row r="601" spans="1:44" ht="13.2">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c r="AL601" s="84"/>
      <c r="AM601" s="84"/>
      <c r="AN601" s="84"/>
      <c r="AO601" s="84"/>
      <c r="AP601" s="84"/>
      <c r="AQ601" s="84"/>
      <c r="AR601" s="84"/>
    </row>
    <row r="602" spans="1:44" ht="13.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c r="AL602" s="84"/>
      <c r="AM602" s="84"/>
      <c r="AN602" s="84"/>
      <c r="AO602" s="84"/>
      <c r="AP602" s="84"/>
      <c r="AQ602" s="84"/>
      <c r="AR602" s="84"/>
    </row>
    <row r="603" spans="1:44" ht="13.2">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c r="AL603" s="84"/>
      <c r="AM603" s="84"/>
      <c r="AN603" s="84"/>
      <c r="AO603" s="84"/>
      <c r="AP603" s="84"/>
      <c r="AQ603" s="84"/>
      <c r="AR603" s="84"/>
    </row>
    <row r="604" spans="1:44" ht="13.2">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c r="AL604" s="84"/>
      <c r="AM604" s="84"/>
      <c r="AN604" s="84"/>
      <c r="AO604" s="84"/>
      <c r="AP604" s="84"/>
      <c r="AQ604" s="84"/>
      <c r="AR604" s="84"/>
    </row>
    <row r="605" spans="1:44" ht="13.2">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c r="AL605" s="84"/>
      <c r="AM605" s="84"/>
      <c r="AN605" s="84"/>
      <c r="AO605" s="84"/>
      <c r="AP605" s="84"/>
      <c r="AQ605" s="84"/>
      <c r="AR605" s="84"/>
    </row>
    <row r="606" spans="1:44" ht="13.2">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c r="AL606" s="84"/>
      <c r="AM606" s="84"/>
      <c r="AN606" s="84"/>
      <c r="AO606" s="84"/>
      <c r="AP606" s="84"/>
      <c r="AQ606" s="84"/>
      <c r="AR606" s="84"/>
    </row>
    <row r="607" spans="1:44" ht="13.2">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c r="AL607" s="84"/>
      <c r="AM607" s="84"/>
      <c r="AN607" s="84"/>
      <c r="AO607" s="84"/>
      <c r="AP607" s="84"/>
      <c r="AQ607" s="84"/>
      <c r="AR607" s="84"/>
    </row>
    <row r="608" spans="1:44" ht="13.2">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c r="AL608" s="84"/>
      <c r="AM608" s="84"/>
      <c r="AN608" s="84"/>
      <c r="AO608" s="84"/>
      <c r="AP608" s="84"/>
      <c r="AQ608" s="84"/>
      <c r="AR608" s="84"/>
    </row>
    <row r="609" spans="1:44" ht="13.2">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c r="AL609" s="84"/>
      <c r="AM609" s="84"/>
      <c r="AN609" s="84"/>
      <c r="AO609" s="84"/>
      <c r="AP609" s="84"/>
      <c r="AQ609" s="84"/>
      <c r="AR609" s="84"/>
    </row>
    <row r="610" spans="1:44" ht="13.2">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c r="AL610" s="84"/>
      <c r="AM610" s="84"/>
      <c r="AN610" s="84"/>
      <c r="AO610" s="84"/>
      <c r="AP610" s="84"/>
      <c r="AQ610" s="84"/>
      <c r="AR610" s="84"/>
    </row>
    <row r="611" spans="1:44" ht="13.2">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c r="AL611" s="84"/>
      <c r="AM611" s="84"/>
      <c r="AN611" s="84"/>
      <c r="AO611" s="84"/>
      <c r="AP611" s="84"/>
      <c r="AQ611" s="84"/>
      <c r="AR611" s="84"/>
    </row>
    <row r="612" spans="1:44" ht="13.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c r="AL612" s="84"/>
      <c r="AM612" s="84"/>
      <c r="AN612" s="84"/>
      <c r="AO612" s="84"/>
      <c r="AP612" s="84"/>
      <c r="AQ612" s="84"/>
      <c r="AR612" s="84"/>
    </row>
    <row r="613" spans="1:44" ht="13.2">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c r="AL613" s="84"/>
      <c r="AM613" s="84"/>
      <c r="AN613" s="84"/>
      <c r="AO613" s="84"/>
      <c r="AP613" s="84"/>
      <c r="AQ613" s="84"/>
      <c r="AR613" s="84"/>
    </row>
    <row r="614" spans="1:44" ht="13.2">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c r="AL614" s="84"/>
      <c r="AM614" s="84"/>
      <c r="AN614" s="84"/>
      <c r="AO614" s="84"/>
      <c r="AP614" s="84"/>
      <c r="AQ614" s="84"/>
      <c r="AR614" s="84"/>
    </row>
    <row r="615" spans="1:44" ht="13.2">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c r="AL615" s="84"/>
      <c r="AM615" s="84"/>
      <c r="AN615" s="84"/>
      <c r="AO615" s="84"/>
      <c r="AP615" s="84"/>
      <c r="AQ615" s="84"/>
      <c r="AR615" s="84"/>
    </row>
    <row r="616" spans="1:44" ht="13.2">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c r="AL616" s="84"/>
      <c r="AM616" s="84"/>
      <c r="AN616" s="84"/>
      <c r="AO616" s="84"/>
      <c r="AP616" s="84"/>
      <c r="AQ616" s="84"/>
      <c r="AR616" s="84"/>
    </row>
    <row r="617" spans="1:44" ht="13.2">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c r="AL617" s="84"/>
      <c r="AM617" s="84"/>
      <c r="AN617" s="84"/>
      <c r="AO617" s="84"/>
      <c r="AP617" s="84"/>
      <c r="AQ617" s="84"/>
      <c r="AR617" s="84"/>
    </row>
    <row r="618" spans="1:44" ht="13.2">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c r="AL618" s="84"/>
      <c r="AM618" s="84"/>
      <c r="AN618" s="84"/>
      <c r="AO618" s="84"/>
      <c r="AP618" s="84"/>
      <c r="AQ618" s="84"/>
      <c r="AR618" s="84"/>
    </row>
    <row r="619" spans="1:44" ht="13.2">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c r="AL619" s="84"/>
      <c r="AM619" s="84"/>
      <c r="AN619" s="84"/>
      <c r="AO619" s="84"/>
      <c r="AP619" s="84"/>
      <c r="AQ619" s="84"/>
      <c r="AR619" s="84"/>
    </row>
    <row r="620" spans="1:44" ht="13.2">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c r="AL620" s="84"/>
      <c r="AM620" s="84"/>
      <c r="AN620" s="84"/>
      <c r="AO620" s="84"/>
      <c r="AP620" s="84"/>
      <c r="AQ620" s="84"/>
      <c r="AR620" s="84"/>
    </row>
    <row r="621" spans="1:44" ht="13.2">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c r="AL621" s="84"/>
      <c r="AM621" s="84"/>
      <c r="AN621" s="84"/>
      <c r="AO621" s="84"/>
      <c r="AP621" s="84"/>
      <c r="AQ621" s="84"/>
      <c r="AR621" s="84"/>
    </row>
    <row r="622" spans="1:44" ht="13.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c r="AL622" s="84"/>
      <c r="AM622" s="84"/>
      <c r="AN622" s="84"/>
      <c r="AO622" s="84"/>
      <c r="AP622" s="84"/>
      <c r="AQ622" s="84"/>
      <c r="AR622" s="84"/>
    </row>
    <row r="623" spans="1:44" ht="13.2">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c r="AL623" s="84"/>
      <c r="AM623" s="84"/>
      <c r="AN623" s="84"/>
      <c r="AO623" s="84"/>
      <c r="AP623" s="84"/>
      <c r="AQ623" s="84"/>
      <c r="AR623" s="84"/>
    </row>
    <row r="624" spans="1:44" ht="13.2">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c r="AL624" s="84"/>
      <c r="AM624" s="84"/>
      <c r="AN624" s="84"/>
      <c r="AO624" s="84"/>
      <c r="AP624" s="84"/>
      <c r="AQ624" s="84"/>
      <c r="AR624" s="84"/>
    </row>
    <row r="625" spans="1:44" ht="13.2">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c r="AL625" s="84"/>
      <c r="AM625" s="84"/>
      <c r="AN625" s="84"/>
      <c r="AO625" s="84"/>
      <c r="AP625" s="84"/>
      <c r="AQ625" s="84"/>
      <c r="AR625" s="84"/>
    </row>
    <row r="626" spans="1:44" ht="13.2">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c r="AL626" s="84"/>
      <c r="AM626" s="84"/>
      <c r="AN626" s="84"/>
      <c r="AO626" s="84"/>
      <c r="AP626" s="84"/>
      <c r="AQ626" s="84"/>
      <c r="AR626" s="84"/>
    </row>
    <row r="627" spans="1:44" ht="13.2">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c r="AL627" s="84"/>
      <c r="AM627" s="84"/>
      <c r="AN627" s="84"/>
      <c r="AO627" s="84"/>
      <c r="AP627" s="84"/>
      <c r="AQ627" s="84"/>
      <c r="AR627" s="84"/>
    </row>
    <row r="628" spans="1:44" ht="13.2">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c r="AN628" s="84"/>
      <c r="AO628" s="84"/>
      <c r="AP628" s="84"/>
      <c r="AQ628" s="84"/>
      <c r="AR628" s="84"/>
    </row>
    <row r="629" spans="1:44" ht="13.2">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c r="AL629" s="84"/>
      <c r="AM629" s="84"/>
      <c r="AN629" s="84"/>
      <c r="AO629" s="84"/>
      <c r="AP629" s="84"/>
      <c r="AQ629" s="84"/>
      <c r="AR629" s="84"/>
    </row>
    <row r="630" spans="1:44" ht="13.2">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c r="AL630" s="84"/>
      <c r="AM630" s="84"/>
      <c r="AN630" s="84"/>
      <c r="AO630" s="84"/>
      <c r="AP630" s="84"/>
      <c r="AQ630" s="84"/>
      <c r="AR630" s="84"/>
    </row>
    <row r="631" spans="1:44" ht="13.2">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c r="AL631" s="84"/>
      <c r="AM631" s="84"/>
      <c r="AN631" s="84"/>
      <c r="AO631" s="84"/>
      <c r="AP631" s="84"/>
      <c r="AQ631" s="84"/>
      <c r="AR631" s="84"/>
    </row>
    <row r="632" spans="1:44" ht="1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c r="AL632" s="84"/>
      <c r="AM632" s="84"/>
      <c r="AN632" s="84"/>
      <c r="AO632" s="84"/>
      <c r="AP632" s="84"/>
      <c r="AQ632" s="84"/>
      <c r="AR632" s="84"/>
    </row>
    <row r="633" spans="1:44" ht="13.2">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c r="AL633" s="84"/>
      <c r="AM633" s="84"/>
      <c r="AN633" s="84"/>
      <c r="AO633" s="84"/>
      <c r="AP633" s="84"/>
      <c r="AQ633" s="84"/>
      <c r="AR633" s="84"/>
    </row>
    <row r="634" spans="1:44" ht="13.2">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c r="AL634" s="84"/>
      <c r="AM634" s="84"/>
      <c r="AN634" s="84"/>
      <c r="AO634" s="84"/>
      <c r="AP634" s="84"/>
      <c r="AQ634" s="84"/>
      <c r="AR634" s="84"/>
    </row>
    <row r="635" spans="1:44" ht="13.2">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c r="AL635" s="84"/>
      <c r="AM635" s="84"/>
      <c r="AN635" s="84"/>
      <c r="AO635" s="84"/>
      <c r="AP635" s="84"/>
      <c r="AQ635" s="84"/>
      <c r="AR635" s="84"/>
    </row>
    <row r="636" spans="1:44" ht="13.2">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c r="AL636" s="84"/>
      <c r="AM636" s="84"/>
      <c r="AN636" s="84"/>
      <c r="AO636" s="84"/>
      <c r="AP636" s="84"/>
      <c r="AQ636" s="84"/>
      <c r="AR636" s="84"/>
    </row>
    <row r="637" spans="1:44" ht="13.2">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c r="AL637" s="84"/>
      <c r="AM637" s="84"/>
      <c r="AN637" s="84"/>
      <c r="AO637" s="84"/>
      <c r="AP637" s="84"/>
      <c r="AQ637" s="84"/>
      <c r="AR637" s="84"/>
    </row>
    <row r="638" spans="1:44" ht="13.2">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c r="AL638" s="84"/>
      <c r="AM638" s="84"/>
      <c r="AN638" s="84"/>
      <c r="AO638" s="84"/>
      <c r="AP638" s="84"/>
      <c r="AQ638" s="84"/>
      <c r="AR638" s="84"/>
    </row>
    <row r="639" spans="1:44" ht="13.2">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c r="AL639" s="84"/>
      <c r="AM639" s="84"/>
      <c r="AN639" s="84"/>
      <c r="AO639" s="84"/>
      <c r="AP639" s="84"/>
      <c r="AQ639" s="84"/>
      <c r="AR639" s="84"/>
    </row>
    <row r="640" spans="1:44" ht="13.2">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c r="AL640" s="84"/>
      <c r="AM640" s="84"/>
      <c r="AN640" s="84"/>
      <c r="AO640" s="84"/>
      <c r="AP640" s="84"/>
      <c r="AQ640" s="84"/>
      <c r="AR640" s="84"/>
    </row>
    <row r="641" spans="1:44" ht="13.2">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c r="AL641" s="84"/>
      <c r="AM641" s="84"/>
      <c r="AN641" s="84"/>
      <c r="AO641" s="84"/>
      <c r="AP641" s="84"/>
      <c r="AQ641" s="84"/>
      <c r="AR641" s="84"/>
    </row>
    <row r="642" spans="1:44" ht="13.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c r="AL642" s="84"/>
      <c r="AM642" s="84"/>
      <c r="AN642" s="84"/>
      <c r="AO642" s="84"/>
      <c r="AP642" s="84"/>
      <c r="AQ642" s="84"/>
      <c r="AR642" s="84"/>
    </row>
    <row r="643" spans="1:44" ht="13.2">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c r="AL643" s="84"/>
      <c r="AM643" s="84"/>
      <c r="AN643" s="84"/>
      <c r="AO643" s="84"/>
      <c r="AP643" s="84"/>
      <c r="AQ643" s="84"/>
      <c r="AR643" s="84"/>
    </row>
    <row r="644" spans="1:44" ht="13.2">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c r="AL644" s="84"/>
      <c r="AM644" s="84"/>
      <c r="AN644" s="84"/>
      <c r="AO644" s="84"/>
      <c r="AP644" s="84"/>
      <c r="AQ644" s="84"/>
      <c r="AR644" s="84"/>
    </row>
    <row r="645" spans="1:44" ht="13.2">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c r="AL645" s="84"/>
      <c r="AM645" s="84"/>
      <c r="AN645" s="84"/>
      <c r="AO645" s="84"/>
      <c r="AP645" s="84"/>
      <c r="AQ645" s="84"/>
      <c r="AR645" s="84"/>
    </row>
    <row r="646" spans="1:44" ht="13.2">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c r="AL646" s="84"/>
      <c r="AM646" s="84"/>
      <c r="AN646" s="84"/>
      <c r="AO646" s="84"/>
      <c r="AP646" s="84"/>
      <c r="AQ646" s="84"/>
      <c r="AR646" s="84"/>
    </row>
    <row r="647" spans="1:44" ht="13.2">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c r="AL647" s="84"/>
      <c r="AM647" s="84"/>
      <c r="AN647" s="84"/>
      <c r="AO647" s="84"/>
      <c r="AP647" s="84"/>
      <c r="AQ647" s="84"/>
      <c r="AR647" s="84"/>
    </row>
    <row r="648" spans="1:44" ht="13.2">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c r="AL648" s="84"/>
      <c r="AM648" s="84"/>
      <c r="AN648" s="84"/>
      <c r="AO648" s="84"/>
      <c r="AP648" s="84"/>
      <c r="AQ648" s="84"/>
      <c r="AR648" s="84"/>
    </row>
    <row r="649" spans="1:44" ht="13.2">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c r="AL649" s="84"/>
      <c r="AM649" s="84"/>
      <c r="AN649" s="84"/>
      <c r="AO649" s="84"/>
      <c r="AP649" s="84"/>
      <c r="AQ649" s="84"/>
      <c r="AR649" s="84"/>
    </row>
    <row r="650" spans="1:44" ht="13.2">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c r="AL650" s="84"/>
      <c r="AM650" s="84"/>
      <c r="AN650" s="84"/>
      <c r="AO650" s="84"/>
      <c r="AP650" s="84"/>
      <c r="AQ650" s="84"/>
      <c r="AR650" s="84"/>
    </row>
    <row r="651" spans="1:44" ht="13.2">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c r="AL651" s="84"/>
      <c r="AM651" s="84"/>
      <c r="AN651" s="84"/>
      <c r="AO651" s="84"/>
      <c r="AP651" s="84"/>
      <c r="AQ651" s="84"/>
      <c r="AR651" s="84"/>
    </row>
    <row r="652" spans="1:44" ht="13.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c r="AL652" s="84"/>
      <c r="AM652" s="84"/>
      <c r="AN652" s="84"/>
      <c r="AO652" s="84"/>
      <c r="AP652" s="84"/>
      <c r="AQ652" s="84"/>
      <c r="AR652" s="84"/>
    </row>
    <row r="653" spans="1:44" ht="13.2">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c r="AL653" s="84"/>
      <c r="AM653" s="84"/>
      <c r="AN653" s="84"/>
      <c r="AO653" s="84"/>
      <c r="AP653" s="84"/>
      <c r="AQ653" s="84"/>
      <c r="AR653" s="84"/>
    </row>
    <row r="654" spans="1:44" ht="13.2">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c r="AL654" s="84"/>
      <c r="AM654" s="84"/>
      <c r="AN654" s="84"/>
      <c r="AO654" s="84"/>
      <c r="AP654" s="84"/>
      <c r="AQ654" s="84"/>
      <c r="AR654" s="84"/>
    </row>
    <row r="655" spans="1:44" ht="13.2">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c r="AL655" s="84"/>
      <c r="AM655" s="84"/>
      <c r="AN655" s="84"/>
      <c r="AO655" s="84"/>
      <c r="AP655" s="84"/>
      <c r="AQ655" s="84"/>
      <c r="AR655" s="84"/>
    </row>
    <row r="656" spans="1:44" ht="13.2">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c r="AL656" s="84"/>
      <c r="AM656" s="84"/>
      <c r="AN656" s="84"/>
      <c r="AO656" s="84"/>
      <c r="AP656" s="84"/>
      <c r="AQ656" s="84"/>
      <c r="AR656" s="84"/>
    </row>
    <row r="657" spans="1:44" ht="13.2">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c r="AL657" s="84"/>
      <c r="AM657" s="84"/>
      <c r="AN657" s="84"/>
      <c r="AO657" s="84"/>
      <c r="AP657" s="84"/>
      <c r="AQ657" s="84"/>
      <c r="AR657" s="84"/>
    </row>
    <row r="658" spans="1:44" ht="13.2">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c r="AL658" s="84"/>
      <c r="AM658" s="84"/>
      <c r="AN658" s="84"/>
      <c r="AO658" s="84"/>
      <c r="AP658" s="84"/>
      <c r="AQ658" s="84"/>
      <c r="AR658" s="84"/>
    </row>
    <row r="659" spans="1:44" ht="13.2">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c r="AL659" s="84"/>
      <c r="AM659" s="84"/>
      <c r="AN659" s="84"/>
      <c r="AO659" s="84"/>
      <c r="AP659" s="84"/>
      <c r="AQ659" s="84"/>
      <c r="AR659" s="84"/>
    </row>
    <row r="660" spans="1:44" ht="13.2">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c r="AL660" s="84"/>
      <c r="AM660" s="84"/>
      <c r="AN660" s="84"/>
      <c r="AO660" s="84"/>
      <c r="AP660" s="84"/>
      <c r="AQ660" s="84"/>
      <c r="AR660" s="84"/>
    </row>
    <row r="661" spans="1:44" ht="13.2">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c r="AL661" s="84"/>
      <c r="AM661" s="84"/>
      <c r="AN661" s="84"/>
      <c r="AO661" s="84"/>
      <c r="AP661" s="84"/>
      <c r="AQ661" s="84"/>
      <c r="AR661" s="84"/>
    </row>
    <row r="662" spans="1:44" ht="13.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c r="AL662" s="84"/>
      <c r="AM662" s="84"/>
      <c r="AN662" s="84"/>
      <c r="AO662" s="84"/>
      <c r="AP662" s="84"/>
      <c r="AQ662" s="84"/>
      <c r="AR662" s="84"/>
    </row>
    <row r="663" spans="1:44" ht="13.2">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c r="AL663" s="84"/>
      <c r="AM663" s="84"/>
      <c r="AN663" s="84"/>
      <c r="AO663" s="84"/>
      <c r="AP663" s="84"/>
      <c r="AQ663" s="84"/>
      <c r="AR663" s="84"/>
    </row>
    <row r="664" spans="1:44" ht="13.2">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c r="AL664" s="84"/>
      <c r="AM664" s="84"/>
      <c r="AN664" s="84"/>
      <c r="AO664" s="84"/>
      <c r="AP664" s="84"/>
      <c r="AQ664" s="84"/>
      <c r="AR664" s="84"/>
    </row>
    <row r="665" spans="1:44" ht="13.2">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c r="AL665" s="84"/>
      <c r="AM665" s="84"/>
      <c r="AN665" s="84"/>
      <c r="AO665" s="84"/>
      <c r="AP665" s="84"/>
      <c r="AQ665" s="84"/>
      <c r="AR665" s="84"/>
    </row>
    <row r="666" spans="1:44" ht="13.2">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c r="AL666" s="84"/>
      <c r="AM666" s="84"/>
      <c r="AN666" s="84"/>
      <c r="AO666" s="84"/>
      <c r="AP666" s="84"/>
      <c r="AQ666" s="84"/>
      <c r="AR666" s="84"/>
    </row>
    <row r="667" spans="1:44" ht="13.2">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c r="AL667" s="84"/>
      <c r="AM667" s="84"/>
      <c r="AN667" s="84"/>
      <c r="AO667" s="84"/>
      <c r="AP667" s="84"/>
      <c r="AQ667" s="84"/>
      <c r="AR667" s="84"/>
    </row>
    <row r="668" spans="1:44" ht="13.2">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c r="AL668" s="84"/>
      <c r="AM668" s="84"/>
      <c r="AN668" s="84"/>
      <c r="AO668" s="84"/>
      <c r="AP668" s="84"/>
      <c r="AQ668" s="84"/>
      <c r="AR668" s="84"/>
    </row>
    <row r="669" spans="1:44" ht="13.2">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c r="AL669" s="84"/>
      <c r="AM669" s="84"/>
      <c r="AN669" s="84"/>
      <c r="AO669" s="84"/>
      <c r="AP669" s="84"/>
      <c r="AQ669" s="84"/>
      <c r="AR669" s="84"/>
    </row>
    <row r="670" spans="1:44" ht="13.2">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c r="AL670" s="84"/>
      <c r="AM670" s="84"/>
      <c r="AN670" s="84"/>
      <c r="AO670" s="84"/>
      <c r="AP670" s="84"/>
      <c r="AQ670" s="84"/>
      <c r="AR670" s="84"/>
    </row>
    <row r="671" spans="1:44" ht="13.2">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c r="AL671" s="84"/>
      <c r="AM671" s="84"/>
      <c r="AN671" s="84"/>
      <c r="AO671" s="84"/>
      <c r="AP671" s="84"/>
      <c r="AQ671" s="84"/>
      <c r="AR671" s="84"/>
    </row>
    <row r="672" spans="1:44" ht="13.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c r="AL672" s="84"/>
      <c r="AM672" s="84"/>
      <c r="AN672" s="84"/>
      <c r="AO672" s="84"/>
      <c r="AP672" s="84"/>
      <c r="AQ672" s="84"/>
      <c r="AR672" s="84"/>
    </row>
    <row r="673" spans="1:44" ht="13.2">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c r="AL673" s="84"/>
      <c r="AM673" s="84"/>
      <c r="AN673" s="84"/>
      <c r="AO673" s="84"/>
      <c r="AP673" s="84"/>
      <c r="AQ673" s="84"/>
      <c r="AR673" s="84"/>
    </row>
    <row r="674" spans="1:44" ht="13.2">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c r="AL674" s="84"/>
      <c r="AM674" s="84"/>
      <c r="AN674" s="84"/>
      <c r="AO674" s="84"/>
      <c r="AP674" s="84"/>
      <c r="AQ674" s="84"/>
      <c r="AR674" s="84"/>
    </row>
    <row r="675" spans="1:44" ht="13.2">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c r="AL675" s="84"/>
      <c r="AM675" s="84"/>
      <c r="AN675" s="84"/>
      <c r="AO675" s="84"/>
      <c r="AP675" s="84"/>
      <c r="AQ675" s="84"/>
      <c r="AR675" s="84"/>
    </row>
    <row r="676" spans="1:44" ht="13.2">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c r="AL676" s="84"/>
      <c r="AM676" s="84"/>
      <c r="AN676" s="84"/>
      <c r="AO676" s="84"/>
      <c r="AP676" s="84"/>
      <c r="AQ676" s="84"/>
      <c r="AR676" s="84"/>
    </row>
    <row r="677" spans="1:44" ht="13.2">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c r="AL677" s="84"/>
      <c r="AM677" s="84"/>
      <c r="AN677" s="84"/>
      <c r="AO677" s="84"/>
      <c r="AP677" s="84"/>
      <c r="AQ677" s="84"/>
      <c r="AR677" s="84"/>
    </row>
    <row r="678" spans="1:44" ht="13.2">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c r="AL678" s="84"/>
      <c r="AM678" s="84"/>
      <c r="AN678" s="84"/>
      <c r="AO678" s="84"/>
      <c r="AP678" s="84"/>
      <c r="AQ678" s="84"/>
      <c r="AR678" s="84"/>
    </row>
    <row r="679" spans="1:44" ht="13.2">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c r="AL679" s="84"/>
      <c r="AM679" s="84"/>
      <c r="AN679" s="84"/>
      <c r="AO679" s="84"/>
      <c r="AP679" s="84"/>
      <c r="AQ679" s="84"/>
      <c r="AR679" s="84"/>
    </row>
    <row r="680" spans="1:44" ht="13.2">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c r="AL680" s="84"/>
      <c r="AM680" s="84"/>
      <c r="AN680" s="84"/>
      <c r="AO680" s="84"/>
      <c r="AP680" s="84"/>
      <c r="AQ680" s="84"/>
      <c r="AR680" s="84"/>
    </row>
    <row r="681" spans="1:44" ht="13.2">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c r="AL681" s="84"/>
      <c r="AM681" s="84"/>
      <c r="AN681" s="84"/>
      <c r="AO681" s="84"/>
      <c r="AP681" s="84"/>
      <c r="AQ681" s="84"/>
      <c r="AR681" s="84"/>
    </row>
    <row r="682" spans="1:44" ht="13.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c r="AL682" s="84"/>
      <c r="AM682" s="84"/>
      <c r="AN682" s="84"/>
      <c r="AO682" s="84"/>
      <c r="AP682" s="84"/>
      <c r="AQ682" s="84"/>
      <c r="AR682" s="84"/>
    </row>
    <row r="683" spans="1:44" ht="13.2">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c r="AL683" s="84"/>
      <c r="AM683" s="84"/>
      <c r="AN683" s="84"/>
      <c r="AO683" s="84"/>
      <c r="AP683" s="84"/>
      <c r="AQ683" s="84"/>
      <c r="AR683" s="84"/>
    </row>
    <row r="684" spans="1:44" ht="13.2">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c r="AL684" s="84"/>
      <c r="AM684" s="84"/>
      <c r="AN684" s="84"/>
      <c r="AO684" s="84"/>
      <c r="AP684" s="84"/>
      <c r="AQ684" s="84"/>
      <c r="AR684" s="84"/>
    </row>
    <row r="685" spans="1:44" ht="13.2">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c r="AL685" s="84"/>
      <c r="AM685" s="84"/>
      <c r="AN685" s="84"/>
      <c r="AO685" s="84"/>
      <c r="AP685" s="84"/>
      <c r="AQ685" s="84"/>
      <c r="AR685" s="84"/>
    </row>
    <row r="686" spans="1:44" ht="13.2">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c r="AL686" s="84"/>
      <c r="AM686" s="84"/>
      <c r="AN686" s="84"/>
      <c r="AO686" s="84"/>
      <c r="AP686" s="84"/>
      <c r="AQ686" s="84"/>
      <c r="AR686" s="84"/>
    </row>
    <row r="687" spans="1:44" ht="13.2">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c r="AL687" s="84"/>
      <c r="AM687" s="84"/>
      <c r="AN687" s="84"/>
      <c r="AO687" s="84"/>
      <c r="AP687" s="84"/>
      <c r="AQ687" s="84"/>
      <c r="AR687" s="84"/>
    </row>
    <row r="688" spans="1:44" ht="13.2">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c r="AL688" s="84"/>
      <c r="AM688" s="84"/>
      <c r="AN688" s="84"/>
      <c r="AO688" s="84"/>
      <c r="AP688" s="84"/>
      <c r="AQ688" s="84"/>
      <c r="AR688" s="84"/>
    </row>
    <row r="689" spans="1:44" ht="13.2">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c r="AL689" s="84"/>
      <c r="AM689" s="84"/>
      <c r="AN689" s="84"/>
      <c r="AO689" s="84"/>
      <c r="AP689" s="84"/>
      <c r="AQ689" s="84"/>
      <c r="AR689" s="84"/>
    </row>
    <row r="690" spans="1:44" ht="13.2">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c r="AL690" s="84"/>
      <c r="AM690" s="84"/>
      <c r="AN690" s="84"/>
      <c r="AO690" s="84"/>
      <c r="AP690" s="84"/>
      <c r="AQ690" s="84"/>
      <c r="AR690" s="84"/>
    </row>
    <row r="691" spans="1:44" ht="13.2">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c r="AL691" s="84"/>
      <c r="AM691" s="84"/>
      <c r="AN691" s="84"/>
      <c r="AO691" s="84"/>
      <c r="AP691" s="84"/>
      <c r="AQ691" s="84"/>
      <c r="AR691" s="84"/>
    </row>
    <row r="692" spans="1:44" ht="13.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c r="AL692" s="84"/>
      <c r="AM692" s="84"/>
      <c r="AN692" s="84"/>
      <c r="AO692" s="84"/>
      <c r="AP692" s="84"/>
      <c r="AQ692" s="84"/>
      <c r="AR692" s="84"/>
    </row>
    <row r="693" spans="1:44" ht="13.2">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c r="AL693" s="84"/>
      <c r="AM693" s="84"/>
      <c r="AN693" s="84"/>
      <c r="AO693" s="84"/>
      <c r="AP693" s="84"/>
      <c r="AQ693" s="84"/>
      <c r="AR693" s="84"/>
    </row>
    <row r="694" spans="1:44" ht="13.2">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c r="AL694" s="84"/>
      <c r="AM694" s="84"/>
      <c r="AN694" s="84"/>
      <c r="AO694" s="84"/>
      <c r="AP694" s="84"/>
      <c r="AQ694" s="84"/>
      <c r="AR694" s="84"/>
    </row>
    <row r="695" spans="1:44" ht="13.2">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c r="AL695" s="84"/>
      <c r="AM695" s="84"/>
      <c r="AN695" s="84"/>
      <c r="AO695" s="84"/>
      <c r="AP695" s="84"/>
      <c r="AQ695" s="84"/>
      <c r="AR695" s="84"/>
    </row>
    <row r="696" spans="1:44" ht="13.2">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c r="AL696" s="84"/>
      <c r="AM696" s="84"/>
      <c r="AN696" s="84"/>
      <c r="AO696" s="84"/>
      <c r="AP696" s="84"/>
      <c r="AQ696" s="84"/>
      <c r="AR696" s="84"/>
    </row>
    <row r="697" spans="1:44" ht="13.2">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c r="AL697" s="84"/>
      <c r="AM697" s="84"/>
      <c r="AN697" s="84"/>
      <c r="AO697" s="84"/>
      <c r="AP697" s="84"/>
      <c r="AQ697" s="84"/>
      <c r="AR697" s="84"/>
    </row>
    <row r="698" spans="1:44" ht="13.2">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c r="AL698" s="84"/>
      <c r="AM698" s="84"/>
      <c r="AN698" s="84"/>
      <c r="AO698" s="84"/>
      <c r="AP698" s="84"/>
      <c r="AQ698" s="84"/>
      <c r="AR698" s="84"/>
    </row>
    <row r="699" spans="1:44" ht="13.2">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c r="AL699" s="84"/>
      <c r="AM699" s="84"/>
      <c r="AN699" s="84"/>
      <c r="AO699" s="84"/>
      <c r="AP699" s="84"/>
      <c r="AQ699" s="84"/>
      <c r="AR699" s="84"/>
    </row>
    <row r="700" spans="1:44" ht="13.2">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c r="AL700" s="84"/>
      <c r="AM700" s="84"/>
      <c r="AN700" s="84"/>
      <c r="AO700" s="84"/>
      <c r="AP700" s="84"/>
      <c r="AQ700" s="84"/>
      <c r="AR700" s="84"/>
    </row>
    <row r="701" spans="1:44" ht="13.2">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c r="AL701" s="84"/>
      <c r="AM701" s="84"/>
      <c r="AN701" s="84"/>
      <c r="AO701" s="84"/>
      <c r="AP701" s="84"/>
      <c r="AQ701" s="84"/>
      <c r="AR701" s="84"/>
    </row>
    <row r="702" spans="1:44" ht="13.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c r="AN702" s="84"/>
      <c r="AO702" s="84"/>
      <c r="AP702" s="84"/>
      <c r="AQ702" s="84"/>
      <c r="AR702" s="84"/>
    </row>
    <row r="703" spans="1:44" ht="13.2">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c r="AN703" s="84"/>
      <c r="AO703" s="84"/>
      <c r="AP703" s="84"/>
      <c r="AQ703" s="84"/>
      <c r="AR703" s="84"/>
    </row>
    <row r="704" spans="1:44" ht="13.2">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c r="AL704" s="84"/>
      <c r="AM704" s="84"/>
      <c r="AN704" s="84"/>
      <c r="AO704" s="84"/>
      <c r="AP704" s="84"/>
      <c r="AQ704" s="84"/>
      <c r="AR704" s="84"/>
    </row>
    <row r="705" spans="1:44" ht="13.2">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c r="AL705" s="84"/>
      <c r="AM705" s="84"/>
      <c r="AN705" s="84"/>
      <c r="AO705" s="84"/>
      <c r="AP705" s="84"/>
      <c r="AQ705" s="84"/>
      <c r="AR705" s="84"/>
    </row>
    <row r="706" spans="1:44" ht="13.2">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c r="AL706" s="84"/>
      <c r="AM706" s="84"/>
      <c r="AN706" s="84"/>
      <c r="AO706" s="84"/>
      <c r="AP706" s="84"/>
      <c r="AQ706" s="84"/>
      <c r="AR706" s="84"/>
    </row>
    <row r="707" spans="1:44" ht="13.2">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c r="AL707" s="84"/>
      <c r="AM707" s="84"/>
      <c r="AN707" s="84"/>
      <c r="AO707" s="84"/>
      <c r="AP707" s="84"/>
      <c r="AQ707" s="84"/>
      <c r="AR707" s="84"/>
    </row>
    <row r="708" spans="1:44" ht="13.2">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c r="AL708" s="84"/>
      <c r="AM708" s="84"/>
      <c r="AN708" s="84"/>
      <c r="AO708" s="84"/>
      <c r="AP708" s="84"/>
      <c r="AQ708" s="84"/>
      <c r="AR708" s="84"/>
    </row>
    <row r="709" spans="1:44" ht="13.2">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c r="AL709" s="84"/>
      <c r="AM709" s="84"/>
      <c r="AN709" s="84"/>
      <c r="AO709" s="84"/>
      <c r="AP709" s="84"/>
      <c r="AQ709" s="84"/>
      <c r="AR709" s="84"/>
    </row>
    <row r="710" spans="1:44" ht="13.2">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c r="AN710" s="84"/>
      <c r="AO710" s="84"/>
      <c r="AP710" s="84"/>
      <c r="AQ710" s="84"/>
      <c r="AR710" s="84"/>
    </row>
    <row r="711" spans="1:44" ht="13.2">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c r="AL711" s="84"/>
      <c r="AM711" s="84"/>
      <c r="AN711" s="84"/>
      <c r="AO711" s="84"/>
      <c r="AP711" s="84"/>
      <c r="AQ711" s="84"/>
      <c r="AR711" s="84"/>
    </row>
    <row r="712" spans="1:44" ht="13.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c r="AL712" s="84"/>
      <c r="AM712" s="84"/>
      <c r="AN712" s="84"/>
      <c r="AO712" s="84"/>
      <c r="AP712" s="84"/>
      <c r="AQ712" s="84"/>
      <c r="AR712" s="84"/>
    </row>
    <row r="713" spans="1:44" ht="13.2">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c r="AL713" s="84"/>
      <c r="AM713" s="84"/>
      <c r="AN713" s="84"/>
      <c r="AO713" s="84"/>
      <c r="AP713" s="84"/>
      <c r="AQ713" s="84"/>
      <c r="AR713" s="84"/>
    </row>
    <row r="714" spans="1:44" ht="13.2">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c r="AL714" s="84"/>
      <c r="AM714" s="84"/>
      <c r="AN714" s="84"/>
      <c r="AO714" s="84"/>
      <c r="AP714" s="84"/>
      <c r="AQ714" s="84"/>
      <c r="AR714" s="84"/>
    </row>
    <row r="715" spans="1:44" ht="13.2">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c r="AL715" s="84"/>
      <c r="AM715" s="84"/>
      <c r="AN715" s="84"/>
      <c r="AO715" s="84"/>
      <c r="AP715" s="84"/>
      <c r="AQ715" s="84"/>
      <c r="AR715" s="84"/>
    </row>
    <row r="716" spans="1:44" ht="13.2">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c r="AL716" s="84"/>
      <c r="AM716" s="84"/>
      <c r="AN716" s="84"/>
      <c r="AO716" s="84"/>
      <c r="AP716" s="84"/>
      <c r="AQ716" s="84"/>
      <c r="AR716" s="84"/>
    </row>
    <row r="717" spans="1:44" ht="13.2">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c r="AL717" s="84"/>
      <c r="AM717" s="84"/>
      <c r="AN717" s="84"/>
      <c r="AO717" s="84"/>
      <c r="AP717" s="84"/>
      <c r="AQ717" s="84"/>
      <c r="AR717" s="84"/>
    </row>
    <row r="718" spans="1:44" ht="13.2">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c r="AL718" s="84"/>
      <c r="AM718" s="84"/>
      <c r="AN718" s="84"/>
      <c r="AO718" s="84"/>
      <c r="AP718" s="84"/>
      <c r="AQ718" s="84"/>
      <c r="AR718" s="84"/>
    </row>
    <row r="719" spans="1:44" ht="13.2">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c r="AL719" s="84"/>
      <c r="AM719" s="84"/>
      <c r="AN719" s="84"/>
      <c r="AO719" s="84"/>
      <c r="AP719" s="84"/>
      <c r="AQ719" s="84"/>
      <c r="AR719" s="84"/>
    </row>
    <row r="720" spans="1:44" ht="13.2">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c r="AL720" s="84"/>
      <c r="AM720" s="84"/>
      <c r="AN720" s="84"/>
      <c r="AO720" s="84"/>
      <c r="AP720" s="84"/>
      <c r="AQ720" s="84"/>
      <c r="AR720" s="84"/>
    </row>
    <row r="721" spans="1:44" ht="13.2">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c r="AL721" s="84"/>
      <c r="AM721" s="84"/>
      <c r="AN721" s="84"/>
      <c r="AO721" s="84"/>
      <c r="AP721" s="84"/>
      <c r="AQ721" s="84"/>
      <c r="AR721" s="84"/>
    </row>
    <row r="722" spans="1:44" ht="13.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c r="AL722" s="84"/>
      <c r="AM722" s="84"/>
      <c r="AN722" s="84"/>
      <c r="AO722" s="84"/>
      <c r="AP722" s="84"/>
      <c r="AQ722" s="84"/>
      <c r="AR722" s="84"/>
    </row>
    <row r="723" spans="1:44" ht="13.2">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c r="AL723" s="84"/>
      <c r="AM723" s="84"/>
      <c r="AN723" s="84"/>
      <c r="AO723" s="84"/>
      <c r="AP723" s="84"/>
      <c r="AQ723" s="84"/>
      <c r="AR723" s="84"/>
    </row>
    <row r="724" spans="1:44" ht="13.2">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c r="AL724" s="84"/>
      <c r="AM724" s="84"/>
      <c r="AN724" s="84"/>
      <c r="AO724" s="84"/>
      <c r="AP724" s="84"/>
      <c r="AQ724" s="84"/>
      <c r="AR724" s="84"/>
    </row>
    <row r="725" spans="1:44" ht="13.2">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c r="AL725" s="84"/>
      <c r="AM725" s="84"/>
      <c r="AN725" s="84"/>
      <c r="AO725" s="84"/>
      <c r="AP725" s="84"/>
      <c r="AQ725" s="84"/>
      <c r="AR725" s="84"/>
    </row>
    <row r="726" spans="1:44" ht="13.2">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c r="AL726" s="84"/>
      <c r="AM726" s="84"/>
      <c r="AN726" s="84"/>
      <c r="AO726" s="84"/>
      <c r="AP726" s="84"/>
      <c r="AQ726" s="84"/>
      <c r="AR726" s="84"/>
    </row>
    <row r="727" spans="1:44" ht="13.2">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c r="AL727" s="84"/>
      <c r="AM727" s="84"/>
      <c r="AN727" s="84"/>
      <c r="AO727" s="84"/>
      <c r="AP727" s="84"/>
      <c r="AQ727" s="84"/>
      <c r="AR727" s="84"/>
    </row>
    <row r="728" spans="1:44" ht="13.2">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c r="AL728" s="84"/>
      <c r="AM728" s="84"/>
      <c r="AN728" s="84"/>
      <c r="AO728" s="84"/>
      <c r="AP728" s="84"/>
      <c r="AQ728" s="84"/>
      <c r="AR728" s="84"/>
    </row>
    <row r="729" spans="1:44" ht="13.2">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c r="AL729" s="84"/>
      <c r="AM729" s="84"/>
      <c r="AN729" s="84"/>
      <c r="AO729" s="84"/>
      <c r="AP729" s="84"/>
      <c r="AQ729" s="84"/>
      <c r="AR729" s="84"/>
    </row>
    <row r="730" spans="1:44" ht="13.2">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c r="AL730" s="84"/>
      <c r="AM730" s="84"/>
      <c r="AN730" s="84"/>
      <c r="AO730" s="84"/>
      <c r="AP730" s="84"/>
      <c r="AQ730" s="84"/>
      <c r="AR730" s="84"/>
    </row>
    <row r="731" spans="1:44" ht="13.2">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c r="AL731" s="84"/>
      <c r="AM731" s="84"/>
      <c r="AN731" s="84"/>
      <c r="AO731" s="84"/>
      <c r="AP731" s="84"/>
      <c r="AQ731" s="84"/>
      <c r="AR731" s="84"/>
    </row>
    <row r="732" spans="1:44" ht="1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c r="AL732" s="84"/>
      <c r="AM732" s="84"/>
      <c r="AN732" s="84"/>
      <c r="AO732" s="84"/>
      <c r="AP732" s="84"/>
      <c r="AQ732" s="84"/>
      <c r="AR732" s="84"/>
    </row>
    <row r="733" spans="1:44" ht="13.2">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c r="AL733" s="84"/>
      <c r="AM733" s="84"/>
      <c r="AN733" s="84"/>
      <c r="AO733" s="84"/>
      <c r="AP733" s="84"/>
      <c r="AQ733" s="84"/>
      <c r="AR733" s="84"/>
    </row>
    <row r="734" spans="1:44" ht="13.2">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c r="AL734" s="84"/>
      <c r="AM734" s="84"/>
      <c r="AN734" s="84"/>
      <c r="AO734" s="84"/>
      <c r="AP734" s="84"/>
      <c r="AQ734" s="84"/>
      <c r="AR734" s="84"/>
    </row>
    <row r="735" spans="1:44" ht="13.2">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c r="AL735" s="84"/>
      <c r="AM735" s="84"/>
      <c r="AN735" s="84"/>
      <c r="AO735" s="84"/>
      <c r="AP735" s="84"/>
      <c r="AQ735" s="84"/>
      <c r="AR735" s="84"/>
    </row>
    <row r="736" spans="1:44" ht="13.2">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c r="AL736" s="84"/>
      <c r="AM736" s="84"/>
      <c r="AN736" s="84"/>
      <c r="AO736" s="84"/>
      <c r="AP736" s="84"/>
      <c r="AQ736" s="84"/>
      <c r="AR736" s="84"/>
    </row>
    <row r="737" spans="1:44" ht="13.2">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c r="AL737" s="84"/>
      <c r="AM737" s="84"/>
      <c r="AN737" s="84"/>
      <c r="AO737" s="84"/>
      <c r="AP737" s="84"/>
      <c r="AQ737" s="84"/>
      <c r="AR737" s="84"/>
    </row>
    <row r="738" spans="1:44" ht="13.2">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c r="AL738" s="84"/>
      <c r="AM738" s="84"/>
      <c r="AN738" s="84"/>
      <c r="AO738" s="84"/>
      <c r="AP738" s="84"/>
      <c r="AQ738" s="84"/>
      <c r="AR738" s="84"/>
    </row>
    <row r="739" spans="1:44" ht="13.2">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c r="AL739" s="84"/>
      <c r="AM739" s="84"/>
      <c r="AN739" s="84"/>
      <c r="AO739" s="84"/>
      <c r="AP739" s="84"/>
      <c r="AQ739" s="84"/>
      <c r="AR739" s="84"/>
    </row>
    <row r="740" spans="1:44" ht="13.2">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c r="AL740" s="84"/>
      <c r="AM740" s="84"/>
      <c r="AN740" s="84"/>
      <c r="AO740" s="84"/>
      <c r="AP740" s="84"/>
      <c r="AQ740" s="84"/>
      <c r="AR740" s="84"/>
    </row>
    <row r="741" spans="1:44" ht="13.2">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c r="AL741" s="84"/>
      <c r="AM741" s="84"/>
      <c r="AN741" s="84"/>
      <c r="AO741" s="84"/>
      <c r="AP741" s="84"/>
      <c r="AQ741" s="84"/>
      <c r="AR741" s="84"/>
    </row>
    <row r="742" spans="1:44" ht="13.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c r="AL742" s="84"/>
      <c r="AM742" s="84"/>
      <c r="AN742" s="84"/>
      <c r="AO742" s="84"/>
      <c r="AP742" s="84"/>
      <c r="AQ742" s="84"/>
      <c r="AR742" s="84"/>
    </row>
    <row r="743" spans="1:44" ht="13.2">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c r="AL743" s="84"/>
      <c r="AM743" s="84"/>
      <c r="AN743" s="84"/>
      <c r="AO743" s="84"/>
      <c r="AP743" s="84"/>
      <c r="AQ743" s="84"/>
      <c r="AR743" s="84"/>
    </row>
    <row r="744" spans="1:44" ht="13.2">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c r="AL744" s="84"/>
      <c r="AM744" s="84"/>
      <c r="AN744" s="84"/>
      <c r="AO744" s="84"/>
      <c r="AP744" s="84"/>
      <c r="AQ744" s="84"/>
      <c r="AR744" s="84"/>
    </row>
    <row r="745" spans="1:44" ht="13.2">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c r="AL745" s="84"/>
      <c r="AM745" s="84"/>
      <c r="AN745" s="84"/>
      <c r="AO745" s="84"/>
      <c r="AP745" s="84"/>
      <c r="AQ745" s="84"/>
      <c r="AR745" s="84"/>
    </row>
    <row r="746" spans="1:44" ht="13.2">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c r="AL746" s="84"/>
      <c r="AM746" s="84"/>
      <c r="AN746" s="84"/>
      <c r="AO746" s="84"/>
      <c r="AP746" s="84"/>
      <c r="AQ746" s="84"/>
      <c r="AR746" s="84"/>
    </row>
    <row r="747" spans="1:44" ht="13.2">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c r="AL747" s="84"/>
      <c r="AM747" s="84"/>
      <c r="AN747" s="84"/>
      <c r="AO747" s="84"/>
      <c r="AP747" s="84"/>
      <c r="AQ747" s="84"/>
      <c r="AR747" s="84"/>
    </row>
    <row r="748" spans="1:44" ht="13.2">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c r="AL748" s="84"/>
      <c r="AM748" s="84"/>
      <c r="AN748" s="84"/>
      <c r="AO748" s="84"/>
      <c r="AP748" s="84"/>
      <c r="AQ748" s="84"/>
      <c r="AR748" s="84"/>
    </row>
    <row r="749" spans="1:44" ht="13.2">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c r="AL749" s="84"/>
      <c r="AM749" s="84"/>
      <c r="AN749" s="84"/>
      <c r="AO749" s="84"/>
      <c r="AP749" s="84"/>
      <c r="AQ749" s="84"/>
      <c r="AR749" s="84"/>
    </row>
    <row r="750" spans="1:44" ht="13.2">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c r="AL750" s="84"/>
      <c r="AM750" s="84"/>
      <c r="AN750" s="84"/>
      <c r="AO750" s="84"/>
      <c r="AP750" s="84"/>
      <c r="AQ750" s="84"/>
      <c r="AR750" s="84"/>
    </row>
    <row r="751" spans="1:44" ht="13.2">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c r="AL751" s="84"/>
      <c r="AM751" s="84"/>
      <c r="AN751" s="84"/>
      <c r="AO751" s="84"/>
      <c r="AP751" s="84"/>
      <c r="AQ751" s="84"/>
      <c r="AR751" s="84"/>
    </row>
    <row r="752" spans="1:44" ht="13.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c r="AL752" s="84"/>
      <c r="AM752" s="84"/>
      <c r="AN752" s="84"/>
      <c r="AO752" s="84"/>
      <c r="AP752" s="84"/>
      <c r="AQ752" s="84"/>
      <c r="AR752" s="84"/>
    </row>
    <row r="753" spans="1:44" ht="13.2">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c r="AL753" s="84"/>
      <c r="AM753" s="84"/>
      <c r="AN753" s="84"/>
      <c r="AO753" s="84"/>
      <c r="AP753" s="84"/>
      <c r="AQ753" s="84"/>
      <c r="AR753" s="84"/>
    </row>
    <row r="754" spans="1:44" ht="13.2">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c r="AL754" s="84"/>
      <c r="AM754" s="84"/>
      <c r="AN754" s="84"/>
      <c r="AO754" s="84"/>
      <c r="AP754" s="84"/>
      <c r="AQ754" s="84"/>
      <c r="AR754" s="84"/>
    </row>
    <row r="755" spans="1:44" ht="13.2">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c r="AL755" s="84"/>
      <c r="AM755" s="84"/>
      <c r="AN755" s="84"/>
      <c r="AO755" s="84"/>
      <c r="AP755" s="84"/>
      <c r="AQ755" s="84"/>
      <c r="AR755" s="84"/>
    </row>
    <row r="756" spans="1:44" ht="13.2">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c r="AL756" s="84"/>
      <c r="AM756" s="84"/>
      <c r="AN756" s="84"/>
      <c r="AO756" s="84"/>
      <c r="AP756" s="84"/>
      <c r="AQ756" s="84"/>
      <c r="AR756" s="84"/>
    </row>
    <row r="757" spans="1:44" ht="13.2">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c r="AL757" s="84"/>
      <c r="AM757" s="84"/>
      <c r="AN757" s="84"/>
      <c r="AO757" s="84"/>
      <c r="AP757" s="84"/>
      <c r="AQ757" s="84"/>
      <c r="AR757" s="84"/>
    </row>
    <row r="758" spans="1:44" ht="13.2">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c r="AL758" s="84"/>
      <c r="AM758" s="84"/>
      <c r="AN758" s="84"/>
      <c r="AO758" s="84"/>
      <c r="AP758" s="84"/>
      <c r="AQ758" s="84"/>
      <c r="AR758" s="84"/>
    </row>
    <row r="759" spans="1:44" ht="13.2">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c r="AL759" s="84"/>
      <c r="AM759" s="84"/>
      <c r="AN759" s="84"/>
      <c r="AO759" s="84"/>
      <c r="AP759" s="84"/>
      <c r="AQ759" s="84"/>
      <c r="AR759" s="84"/>
    </row>
    <row r="760" spans="1:44" ht="13.2">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c r="AL760" s="84"/>
      <c r="AM760" s="84"/>
      <c r="AN760" s="84"/>
      <c r="AO760" s="84"/>
      <c r="AP760" s="84"/>
      <c r="AQ760" s="84"/>
      <c r="AR760" s="84"/>
    </row>
    <row r="761" spans="1:44" ht="13.2">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c r="AL761" s="84"/>
      <c r="AM761" s="84"/>
      <c r="AN761" s="84"/>
      <c r="AO761" s="84"/>
      <c r="AP761" s="84"/>
      <c r="AQ761" s="84"/>
      <c r="AR761" s="84"/>
    </row>
    <row r="762" spans="1:44" ht="13.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c r="AL762" s="84"/>
      <c r="AM762" s="84"/>
      <c r="AN762" s="84"/>
      <c r="AO762" s="84"/>
      <c r="AP762" s="84"/>
      <c r="AQ762" s="84"/>
      <c r="AR762" s="84"/>
    </row>
    <row r="763" spans="1:44" ht="13.2">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c r="AL763" s="84"/>
      <c r="AM763" s="84"/>
      <c r="AN763" s="84"/>
      <c r="AO763" s="84"/>
      <c r="AP763" s="84"/>
      <c r="AQ763" s="84"/>
      <c r="AR763" s="84"/>
    </row>
    <row r="764" spans="1:44" ht="13.2">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c r="AP764" s="84"/>
      <c r="AQ764" s="84"/>
      <c r="AR764" s="84"/>
    </row>
    <row r="765" spans="1:44" ht="13.2">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c r="AN765" s="84"/>
      <c r="AO765" s="84"/>
      <c r="AP765" s="84"/>
      <c r="AQ765" s="84"/>
      <c r="AR765" s="84"/>
    </row>
    <row r="766" spans="1:44" ht="13.2">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c r="AN766" s="84"/>
      <c r="AO766" s="84"/>
      <c r="AP766" s="84"/>
      <c r="AQ766" s="84"/>
      <c r="AR766" s="84"/>
    </row>
    <row r="767" spans="1:44" ht="13.2">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c r="AN767" s="84"/>
      <c r="AO767" s="84"/>
      <c r="AP767" s="84"/>
      <c r="AQ767" s="84"/>
      <c r="AR767" s="84"/>
    </row>
    <row r="768" spans="1:44" ht="13.2">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c r="AL768" s="84"/>
      <c r="AM768" s="84"/>
      <c r="AN768" s="84"/>
      <c r="AO768" s="84"/>
      <c r="AP768" s="84"/>
      <c r="AQ768" s="84"/>
      <c r="AR768" s="84"/>
    </row>
    <row r="769" spans="1:44" ht="13.2">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c r="AL769" s="84"/>
      <c r="AM769" s="84"/>
      <c r="AN769" s="84"/>
      <c r="AO769" s="84"/>
      <c r="AP769" s="84"/>
      <c r="AQ769" s="84"/>
      <c r="AR769" s="84"/>
    </row>
    <row r="770" spans="1:44" ht="13.2">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c r="AL770" s="84"/>
      <c r="AM770" s="84"/>
      <c r="AN770" s="84"/>
      <c r="AO770" s="84"/>
      <c r="AP770" s="84"/>
      <c r="AQ770" s="84"/>
      <c r="AR770" s="84"/>
    </row>
    <row r="771" spans="1:44" ht="13.2">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c r="AL771" s="84"/>
      <c r="AM771" s="84"/>
      <c r="AN771" s="84"/>
      <c r="AO771" s="84"/>
      <c r="AP771" s="84"/>
      <c r="AQ771" s="84"/>
      <c r="AR771" s="84"/>
    </row>
    <row r="772" spans="1:44" ht="13.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c r="AL772" s="84"/>
      <c r="AM772" s="84"/>
      <c r="AN772" s="84"/>
      <c r="AO772" s="84"/>
      <c r="AP772" s="84"/>
      <c r="AQ772" s="84"/>
      <c r="AR772" s="84"/>
    </row>
    <row r="773" spans="1:44" ht="13.2">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c r="AL773" s="84"/>
      <c r="AM773" s="84"/>
      <c r="AN773" s="84"/>
      <c r="AO773" s="84"/>
      <c r="AP773" s="84"/>
      <c r="AQ773" s="84"/>
      <c r="AR773" s="84"/>
    </row>
    <row r="774" spans="1:44" ht="13.2">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c r="AL774" s="84"/>
      <c r="AM774" s="84"/>
      <c r="AN774" s="84"/>
      <c r="AO774" s="84"/>
      <c r="AP774" s="84"/>
      <c r="AQ774" s="84"/>
      <c r="AR774" s="84"/>
    </row>
    <row r="775" spans="1:44" ht="13.2">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c r="AL775" s="84"/>
      <c r="AM775" s="84"/>
      <c r="AN775" s="84"/>
      <c r="AO775" s="84"/>
      <c r="AP775" s="84"/>
      <c r="AQ775" s="84"/>
      <c r="AR775" s="84"/>
    </row>
    <row r="776" spans="1:44" ht="13.2">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c r="AL776" s="84"/>
      <c r="AM776" s="84"/>
      <c r="AN776" s="84"/>
      <c r="AO776" s="84"/>
      <c r="AP776" s="84"/>
      <c r="AQ776" s="84"/>
      <c r="AR776" s="84"/>
    </row>
    <row r="777" spans="1:44" ht="13.2">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c r="AL777" s="84"/>
      <c r="AM777" s="84"/>
      <c r="AN777" s="84"/>
      <c r="AO777" s="84"/>
      <c r="AP777" s="84"/>
      <c r="AQ777" s="84"/>
      <c r="AR777" s="84"/>
    </row>
    <row r="778" spans="1:44" ht="13.2">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c r="AL778" s="84"/>
      <c r="AM778" s="84"/>
      <c r="AN778" s="84"/>
      <c r="AO778" s="84"/>
      <c r="AP778" s="84"/>
      <c r="AQ778" s="84"/>
      <c r="AR778" s="84"/>
    </row>
    <row r="779" spans="1:44" ht="13.2">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c r="AL779" s="84"/>
      <c r="AM779" s="84"/>
      <c r="AN779" s="84"/>
      <c r="AO779" s="84"/>
      <c r="AP779" s="84"/>
      <c r="AQ779" s="84"/>
      <c r="AR779" s="84"/>
    </row>
    <row r="780" spans="1:44" ht="13.2">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c r="AL780" s="84"/>
      <c r="AM780" s="84"/>
      <c r="AN780" s="84"/>
      <c r="AO780" s="84"/>
      <c r="AP780" s="84"/>
      <c r="AQ780" s="84"/>
      <c r="AR780" s="84"/>
    </row>
    <row r="781" spans="1:44" ht="13.2">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c r="AL781" s="84"/>
      <c r="AM781" s="84"/>
      <c r="AN781" s="84"/>
      <c r="AO781" s="84"/>
      <c r="AP781" s="84"/>
      <c r="AQ781" s="84"/>
      <c r="AR781" s="84"/>
    </row>
    <row r="782" spans="1:44" ht="13.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c r="AL782" s="84"/>
      <c r="AM782" s="84"/>
      <c r="AN782" s="84"/>
      <c r="AO782" s="84"/>
      <c r="AP782" s="84"/>
      <c r="AQ782" s="84"/>
      <c r="AR782" s="84"/>
    </row>
    <row r="783" spans="1:44" ht="13.2">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c r="AL783" s="84"/>
      <c r="AM783" s="84"/>
      <c r="AN783" s="84"/>
      <c r="AO783" s="84"/>
      <c r="AP783" s="84"/>
      <c r="AQ783" s="84"/>
      <c r="AR783" s="84"/>
    </row>
    <row r="784" spans="1:44" ht="13.2">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c r="AL784" s="84"/>
      <c r="AM784" s="84"/>
      <c r="AN784" s="84"/>
      <c r="AO784" s="84"/>
      <c r="AP784" s="84"/>
      <c r="AQ784" s="84"/>
      <c r="AR784" s="84"/>
    </row>
    <row r="785" spans="1:44" ht="13.2">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c r="AL785" s="84"/>
      <c r="AM785" s="84"/>
      <c r="AN785" s="84"/>
      <c r="AO785" s="84"/>
      <c r="AP785" s="84"/>
      <c r="AQ785" s="84"/>
      <c r="AR785" s="84"/>
    </row>
    <row r="786" spans="1:44" ht="13.2">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c r="AL786" s="84"/>
      <c r="AM786" s="84"/>
      <c r="AN786" s="84"/>
      <c r="AO786" s="84"/>
      <c r="AP786" s="84"/>
      <c r="AQ786" s="84"/>
      <c r="AR786" s="84"/>
    </row>
    <row r="787" spans="1:44" ht="13.2">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c r="AL787" s="84"/>
      <c r="AM787" s="84"/>
      <c r="AN787" s="84"/>
      <c r="AO787" s="84"/>
      <c r="AP787" s="84"/>
      <c r="AQ787" s="84"/>
      <c r="AR787" s="84"/>
    </row>
    <row r="788" spans="1:44" ht="13.2">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c r="AL788" s="84"/>
      <c r="AM788" s="84"/>
      <c r="AN788" s="84"/>
      <c r="AO788" s="84"/>
      <c r="AP788" s="84"/>
      <c r="AQ788" s="84"/>
      <c r="AR788" s="84"/>
    </row>
    <row r="789" spans="1:44" ht="13.2">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c r="AL789" s="84"/>
      <c r="AM789" s="84"/>
      <c r="AN789" s="84"/>
      <c r="AO789" s="84"/>
      <c r="AP789" s="84"/>
      <c r="AQ789" s="84"/>
      <c r="AR789" s="84"/>
    </row>
    <row r="790" spans="1:44" ht="13.2">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c r="AL790" s="84"/>
      <c r="AM790" s="84"/>
      <c r="AN790" s="84"/>
      <c r="AO790" s="84"/>
      <c r="AP790" s="84"/>
      <c r="AQ790" s="84"/>
      <c r="AR790" s="84"/>
    </row>
    <row r="791" spans="1:44" ht="13.2">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c r="AL791" s="84"/>
      <c r="AM791" s="84"/>
      <c r="AN791" s="84"/>
      <c r="AO791" s="84"/>
      <c r="AP791" s="84"/>
      <c r="AQ791" s="84"/>
      <c r="AR791" s="84"/>
    </row>
    <row r="792" spans="1:44" ht="13.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c r="AL792" s="84"/>
      <c r="AM792" s="84"/>
      <c r="AN792" s="84"/>
      <c r="AO792" s="84"/>
      <c r="AP792" s="84"/>
      <c r="AQ792" s="84"/>
      <c r="AR792" s="84"/>
    </row>
    <row r="793" spans="1:44" ht="13.2">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c r="AL793" s="84"/>
      <c r="AM793" s="84"/>
      <c r="AN793" s="84"/>
      <c r="AO793" s="84"/>
      <c r="AP793" s="84"/>
      <c r="AQ793" s="84"/>
      <c r="AR793" s="84"/>
    </row>
    <row r="794" spans="1:44" ht="13.2">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c r="AL794" s="84"/>
      <c r="AM794" s="84"/>
      <c r="AN794" s="84"/>
      <c r="AO794" s="84"/>
      <c r="AP794" s="84"/>
      <c r="AQ794" s="84"/>
      <c r="AR794" s="84"/>
    </row>
    <row r="795" spans="1:44" ht="13.2">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c r="AL795" s="84"/>
      <c r="AM795" s="84"/>
      <c r="AN795" s="84"/>
      <c r="AO795" s="84"/>
      <c r="AP795" s="84"/>
      <c r="AQ795" s="84"/>
      <c r="AR795" s="84"/>
    </row>
    <row r="796" spans="1:44" ht="13.2">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c r="AL796" s="84"/>
      <c r="AM796" s="84"/>
      <c r="AN796" s="84"/>
      <c r="AO796" s="84"/>
      <c r="AP796" s="84"/>
      <c r="AQ796" s="84"/>
      <c r="AR796" s="84"/>
    </row>
    <row r="797" spans="1:44" ht="13.2">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c r="AL797" s="84"/>
      <c r="AM797" s="84"/>
      <c r="AN797" s="84"/>
      <c r="AO797" s="84"/>
      <c r="AP797" s="84"/>
      <c r="AQ797" s="84"/>
      <c r="AR797" s="84"/>
    </row>
    <row r="798" spans="1:44" ht="13.2">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c r="AL798" s="84"/>
      <c r="AM798" s="84"/>
      <c r="AN798" s="84"/>
      <c r="AO798" s="84"/>
      <c r="AP798" s="84"/>
      <c r="AQ798" s="84"/>
      <c r="AR798" s="84"/>
    </row>
    <row r="799" spans="1:44" ht="13.2">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c r="AL799" s="84"/>
      <c r="AM799" s="84"/>
      <c r="AN799" s="84"/>
      <c r="AO799" s="84"/>
      <c r="AP799" s="84"/>
      <c r="AQ799" s="84"/>
      <c r="AR799" s="84"/>
    </row>
    <row r="800" spans="1:44" ht="13.2">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c r="AL800" s="84"/>
      <c r="AM800" s="84"/>
      <c r="AN800" s="84"/>
      <c r="AO800" s="84"/>
      <c r="AP800" s="84"/>
      <c r="AQ800" s="84"/>
      <c r="AR800" s="84"/>
    </row>
    <row r="801" spans="1:44" ht="13.2">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c r="AL801" s="84"/>
      <c r="AM801" s="84"/>
      <c r="AN801" s="84"/>
      <c r="AO801" s="84"/>
      <c r="AP801" s="84"/>
      <c r="AQ801" s="84"/>
      <c r="AR801" s="84"/>
    </row>
    <row r="802" spans="1:44" ht="13.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c r="AL802" s="84"/>
      <c r="AM802" s="84"/>
      <c r="AN802" s="84"/>
      <c r="AO802" s="84"/>
      <c r="AP802" s="84"/>
      <c r="AQ802" s="84"/>
      <c r="AR802" s="84"/>
    </row>
    <row r="803" spans="1:44" ht="13.2">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c r="AL803" s="84"/>
      <c r="AM803" s="84"/>
      <c r="AN803" s="84"/>
      <c r="AO803" s="84"/>
      <c r="AP803" s="84"/>
      <c r="AQ803" s="84"/>
      <c r="AR803" s="84"/>
    </row>
    <row r="804" spans="1:44" ht="13.2">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c r="AL804" s="84"/>
      <c r="AM804" s="84"/>
      <c r="AN804" s="84"/>
      <c r="AO804" s="84"/>
      <c r="AP804" s="84"/>
      <c r="AQ804" s="84"/>
      <c r="AR804" s="84"/>
    </row>
    <row r="805" spans="1:44" ht="13.2">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c r="AL805" s="84"/>
      <c r="AM805" s="84"/>
      <c r="AN805" s="84"/>
      <c r="AO805" s="84"/>
      <c r="AP805" s="84"/>
      <c r="AQ805" s="84"/>
      <c r="AR805" s="84"/>
    </row>
    <row r="806" spans="1:44" ht="13.2">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c r="AL806" s="84"/>
      <c r="AM806" s="84"/>
      <c r="AN806" s="84"/>
      <c r="AO806" s="84"/>
      <c r="AP806" s="84"/>
      <c r="AQ806" s="84"/>
      <c r="AR806" s="84"/>
    </row>
    <row r="807" spans="1:44" ht="13.2">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c r="AL807" s="84"/>
      <c r="AM807" s="84"/>
      <c r="AN807" s="84"/>
      <c r="AO807" s="84"/>
      <c r="AP807" s="84"/>
      <c r="AQ807" s="84"/>
      <c r="AR807" s="84"/>
    </row>
    <row r="808" spans="1:44" ht="13.2">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c r="AL808" s="84"/>
      <c r="AM808" s="84"/>
      <c r="AN808" s="84"/>
      <c r="AO808" s="84"/>
      <c r="AP808" s="84"/>
      <c r="AQ808" s="84"/>
      <c r="AR808" s="84"/>
    </row>
    <row r="809" spans="1:44" ht="13.2">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c r="AL809" s="84"/>
      <c r="AM809" s="84"/>
      <c r="AN809" s="84"/>
      <c r="AO809" s="84"/>
      <c r="AP809" s="84"/>
      <c r="AQ809" s="84"/>
      <c r="AR809" s="84"/>
    </row>
    <row r="810" spans="1:44" ht="13.2">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c r="AL810" s="84"/>
      <c r="AM810" s="84"/>
      <c r="AN810" s="84"/>
      <c r="AO810" s="84"/>
      <c r="AP810" s="84"/>
      <c r="AQ810" s="84"/>
      <c r="AR810" s="84"/>
    </row>
    <row r="811" spans="1:44" ht="13.2">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c r="AL811" s="84"/>
      <c r="AM811" s="84"/>
      <c r="AN811" s="84"/>
      <c r="AO811" s="84"/>
      <c r="AP811" s="84"/>
      <c r="AQ811" s="84"/>
      <c r="AR811" s="84"/>
    </row>
    <row r="812" spans="1:44" ht="13.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c r="AL812" s="84"/>
      <c r="AM812" s="84"/>
      <c r="AN812" s="84"/>
      <c r="AO812" s="84"/>
      <c r="AP812" s="84"/>
      <c r="AQ812" s="84"/>
      <c r="AR812" s="84"/>
    </row>
    <row r="813" spans="1:44" ht="13.2">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c r="AL813" s="84"/>
      <c r="AM813" s="84"/>
      <c r="AN813" s="84"/>
      <c r="AO813" s="84"/>
      <c r="AP813" s="84"/>
      <c r="AQ813" s="84"/>
      <c r="AR813" s="84"/>
    </row>
    <row r="814" spans="1:44" ht="13.2">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c r="AL814" s="84"/>
      <c r="AM814" s="84"/>
      <c r="AN814" s="84"/>
      <c r="AO814" s="84"/>
      <c r="AP814" s="84"/>
      <c r="AQ814" s="84"/>
      <c r="AR814" s="84"/>
    </row>
    <row r="815" spans="1:44" ht="13.2">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c r="AL815" s="84"/>
      <c r="AM815" s="84"/>
      <c r="AN815" s="84"/>
      <c r="AO815" s="84"/>
      <c r="AP815" s="84"/>
      <c r="AQ815" s="84"/>
      <c r="AR815" s="84"/>
    </row>
    <row r="816" spans="1:44" ht="13.2">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c r="AL816" s="84"/>
      <c r="AM816" s="84"/>
      <c r="AN816" s="84"/>
      <c r="AO816" s="84"/>
      <c r="AP816" s="84"/>
      <c r="AQ816" s="84"/>
      <c r="AR816" s="84"/>
    </row>
    <row r="817" spans="1:44" ht="13.2">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c r="AL817" s="84"/>
      <c r="AM817" s="84"/>
      <c r="AN817" s="84"/>
      <c r="AO817" s="84"/>
      <c r="AP817" s="84"/>
      <c r="AQ817" s="84"/>
      <c r="AR817" s="84"/>
    </row>
    <row r="818" spans="1:44" ht="13.2">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c r="AL818" s="84"/>
      <c r="AM818" s="84"/>
      <c r="AN818" s="84"/>
      <c r="AO818" s="84"/>
      <c r="AP818" s="84"/>
      <c r="AQ818" s="84"/>
      <c r="AR818" s="84"/>
    </row>
    <row r="819" spans="1:44" ht="13.2">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c r="AL819" s="84"/>
      <c r="AM819" s="84"/>
      <c r="AN819" s="84"/>
      <c r="AO819" s="84"/>
      <c r="AP819" s="84"/>
      <c r="AQ819" s="84"/>
      <c r="AR819" s="84"/>
    </row>
    <row r="820" spans="1:44" ht="13.2">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c r="AL820" s="84"/>
      <c r="AM820" s="84"/>
      <c r="AN820" s="84"/>
      <c r="AO820" s="84"/>
      <c r="AP820" s="84"/>
      <c r="AQ820" s="84"/>
      <c r="AR820" s="84"/>
    </row>
    <row r="821" spans="1:44" ht="13.2">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c r="AL821" s="84"/>
      <c r="AM821" s="84"/>
      <c r="AN821" s="84"/>
      <c r="AO821" s="84"/>
      <c r="AP821" s="84"/>
      <c r="AQ821" s="84"/>
      <c r="AR821" s="84"/>
    </row>
    <row r="822" spans="1:44" ht="13.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c r="AL822" s="84"/>
      <c r="AM822" s="84"/>
      <c r="AN822" s="84"/>
      <c r="AO822" s="84"/>
      <c r="AP822" s="84"/>
      <c r="AQ822" s="84"/>
      <c r="AR822" s="84"/>
    </row>
    <row r="823" spans="1:44" ht="13.2">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c r="AL823" s="84"/>
      <c r="AM823" s="84"/>
      <c r="AN823" s="84"/>
      <c r="AO823" s="84"/>
      <c r="AP823" s="84"/>
      <c r="AQ823" s="84"/>
      <c r="AR823" s="84"/>
    </row>
    <row r="824" spans="1:44" ht="13.2">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c r="AL824" s="84"/>
      <c r="AM824" s="84"/>
      <c r="AN824" s="84"/>
      <c r="AO824" s="84"/>
      <c r="AP824" s="84"/>
      <c r="AQ824" s="84"/>
      <c r="AR824" s="84"/>
    </row>
    <row r="825" spans="1:44" ht="13.2">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c r="AL825" s="84"/>
      <c r="AM825" s="84"/>
      <c r="AN825" s="84"/>
      <c r="AO825" s="84"/>
      <c r="AP825" s="84"/>
      <c r="AQ825" s="84"/>
      <c r="AR825" s="84"/>
    </row>
    <row r="826" spans="1:44" ht="13.2">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c r="AL826" s="84"/>
      <c r="AM826" s="84"/>
      <c r="AN826" s="84"/>
      <c r="AO826" s="84"/>
      <c r="AP826" s="84"/>
      <c r="AQ826" s="84"/>
      <c r="AR826" s="84"/>
    </row>
    <row r="827" spans="1:44" ht="13.2">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c r="AL827" s="84"/>
      <c r="AM827" s="84"/>
      <c r="AN827" s="84"/>
      <c r="AO827" s="84"/>
      <c r="AP827" s="84"/>
      <c r="AQ827" s="84"/>
      <c r="AR827" s="84"/>
    </row>
    <row r="828" spans="1:44" ht="13.2">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c r="AL828" s="84"/>
      <c r="AM828" s="84"/>
      <c r="AN828" s="84"/>
      <c r="AO828" s="84"/>
      <c r="AP828" s="84"/>
      <c r="AQ828" s="84"/>
      <c r="AR828" s="84"/>
    </row>
    <row r="829" spans="1:44" ht="13.2">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c r="AL829" s="84"/>
      <c r="AM829" s="84"/>
      <c r="AN829" s="84"/>
      <c r="AO829" s="84"/>
      <c r="AP829" s="84"/>
      <c r="AQ829" s="84"/>
      <c r="AR829" s="84"/>
    </row>
    <row r="830" spans="1:44" ht="13.2">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c r="AL830" s="84"/>
      <c r="AM830" s="84"/>
      <c r="AN830" s="84"/>
      <c r="AO830" s="84"/>
      <c r="AP830" s="84"/>
      <c r="AQ830" s="84"/>
      <c r="AR830" s="84"/>
    </row>
    <row r="831" spans="1:44" ht="13.2">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c r="AL831" s="84"/>
      <c r="AM831" s="84"/>
      <c r="AN831" s="84"/>
      <c r="AO831" s="84"/>
      <c r="AP831" s="84"/>
      <c r="AQ831" s="84"/>
      <c r="AR831" s="84"/>
    </row>
    <row r="832" spans="1:44" ht="1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c r="AL832" s="84"/>
      <c r="AM832" s="84"/>
      <c r="AN832" s="84"/>
      <c r="AO832" s="84"/>
      <c r="AP832" s="84"/>
      <c r="AQ832" s="84"/>
      <c r="AR832" s="84"/>
    </row>
    <row r="833" spans="1:44" ht="13.2">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c r="AL833" s="84"/>
      <c r="AM833" s="84"/>
      <c r="AN833" s="84"/>
      <c r="AO833" s="84"/>
      <c r="AP833" s="84"/>
      <c r="AQ833" s="84"/>
      <c r="AR833" s="84"/>
    </row>
    <row r="834" spans="1:44" ht="13.2">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c r="AL834" s="84"/>
      <c r="AM834" s="84"/>
      <c r="AN834" s="84"/>
      <c r="AO834" s="84"/>
      <c r="AP834" s="84"/>
      <c r="AQ834" s="84"/>
      <c r="AR834" s="84"/>
    </row>
    <row r="835" spans="1:44" ht="13.2">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c r="AL835" s="84"/>
      <c r="AM835" s="84"/>
      <c r="AN835" s="84"/>
      <c r="AO835" s="84"/>
      <c r="AP835" s="84"/>
      <c r="AQ835" s="84"/>
      <c r="AR835" s="84"/>
    </row>
    <row r="836" spans="1:44" ht="13.2">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c r="AL836" s="84"/>
      <c r="AM836" s="84"/>
      <c r="AN836" s="84"/>
      <c r="AO836" s="84"/>
      <c r="AP836" s="84"/>
      <c r="AQ836" s="84"/>
      <c r="AR836" s="84"/>
    </row>
    <row r="837" spans="1:44" ht="13.2">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c r="AL837" s="84"/>
      <c r="AM837" s="84"/>
      <c r="AN837" s="84"/>
      <c r="AO837" s="84"/>
      <c r="AP837" s="84"/>
      <c r="AQ837" s="84"/>
      <c r="AR837" s="84"/>
    </row>
    <row r="838" spans="1:44" ht="13.2">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c r="AL838" s="84"/>
      <c r="AM838" s="84"/>
      <c r="AN838" s="84"/>
      <c r="AO838" s="84"/>
      <c r="AP838" s="84"/>
      <c r="AQ838" s="84"/>
      <c r="AR838" s="84"/>
    </row>
    <row r="839" spans="1:44" ht="13.2">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c r="AL839" s="84"/>
      <c r="AM839" s="84"/>
      <c r="AN839" s="84"/>
      <c r="AO839" s="84"/>
      <c r="AP839" s="84"/>
      <c r="AQ839" s="84"/>
      <c r="AR839" s="84"/>
    </row>
    <row r="840" spans="1:44" ht="13.2">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c r="AL840" s="84"/>
      <c r="AM840" s="84"/>
      <c r="AN840" s="84"/>
      <c r="AO840" s="84"/>
      <c r="AP840" s="84"/>
      <c r="AQ840" s="84"/>
      <c r="AR840" s="84"/>
    </row>
    <row r="841" spans="1:44" ht="13.2">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c r="AL841" s="84"/>
      <c r="AM841" s="84"/>
      <c r="AN841" s="84"/>
      <c r="AO841" s="84"/>
      <c r="AP841" s="84"/>
      <c r="AQ841" s="84"/>
      <c r="AR841" s="84"/>
    </row>
    <row r="842" spans="1:44" ht="13.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c r="AL842" s="84"/>
      <c r="AM842" s="84"/>
      <c r="AN842" s="84"/>
      <c r="AO842" s="84"/>
      <c r="AP842" s="84"/>
      <c r="AQ842" s="84"/>
      <c r="AR842" s="84"/>
    </row>
    <row r="843" spans="1:44" ht="13.2">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c r="AL843" s="84"/>
      <c r="AM843" s="84"/>
      <c r="AN843" s="84"/>
      <c r="AO843" s="84"/>
      <c r="AP843" s="84"/>
      <c r="AQ843" s="84"/>
      <c r="AR843" s="84"/>
    </row>
    <row r="844" spans="1:44" ht="13.2">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c r="AL844" s="84"/>
      <c r="AM844" s="84"/>
      <c r="AN844" s="84"/>
      <c r="AO844" s="84"/>
      <c r="AP844" s="84"/>
      <c r="AQ844" s="84"/>
      <c r="AR844" s="84"/>
    </row>
    <row r="845" spans="1:44" ht="13.2">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c r="AL845" s="84"/>
      <c r="AM845" s="84"/>
      <c r="AN845" s="84"/>
      <c r="AO845" s="84"/>
      <c r="AP845" s="84"/>
      <c r="AQ845" s="84"/>
      <c r="AR845" s="84"/>
    </row>
    <row r="846" spans="1:44" ht="13.2">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c r="AL846" s="84"/>
      <c r="AM846" s="84"/>
      <c r="AN846" s="84"/>
      <c r="AO846" s="84"/>
      <c r="AP846" s="84"/>
      <c r="AQ846" s="84"/>
      <c r="AR846" s="84"/>
    </row>
    <row r="847" spans="1:44" ht="13.2">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c r="AL847" s="84"/>
      <c r="AM847" s="84"/>
      <c r="AN847" s="84"/>
      <c r="AO847" s="84"/>
      <c r="AP847" s="84"/>
      <c r="AQ847" s="84"/>
      <c r="AR847" s="84"/>
    </row>
    <row r="848" spans="1:44" ht="13.2">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c r="AN848" s="84"/>
      <c r="AO848" s="84"/>
      <c r="AP848" s="84"/>
      <c r="AQ848" s="84"/>
      <c r="AR848" s="84"/>
    </row>
    <row r="849" spans="1:44" ht="13.2">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c r="AL849" s="84"/>
      <c r="AM849" s="84"/>
      <c r="AN849" s="84"/>
      <c r="AO849" s="84"/>
      <c r="AP849" s="84"/>
      <c r="AQ849" s="84"/>
      <c r="AR849" s="84"/>
    </row>
    <row r="850" spans="1:44" ht="13.2">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c r="AL850" s="84"/>
      <c r="AM850" s="84"/>
      <c r="AN850" s="84"/>
      <c r="AO850" s="84"/>
      <c r="AP850" s="84"/>
      <c r="AQ850" s="84"/>
      <c r="AR850" s="84"/>
    </row>
    <row r="851" spans="1:44" ht="13.2">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c r="AL851" s="84"/>
      <c r="AM851" s="84"/>
      <c r="AN851" s="84"/>
      <c r="AO851" s="84"/>
      <c r="AP851" s="84"/>
      <c r="AQ851" s="84"/>
      <c r="AR851" s="84"/>
    </row>
    <row r="852" spans="1:44" ht="13.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c r="AL852" s="84"/>
      <c r="AM852" s="84"/>
      <c r="AN852" s="84"/>
      <c r="AO852" s="84"/>
      <c r="AP852" s="84"/>
      <c r="AQ852" s="84"/>
      <c r="AR852" s="84"/>
    </row>
    <row r="853" spans="1:44" ht="13.2">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c r="AN853" s="84"/>
      <c r="AO853" s="84"/>
      <c r="AP853" s="84"/>
      <c r="AQ853" s="84"/>
      <c r="AR853" s="84"/>
    </row>
    <row r="854" spans="1:44" ht="13.2">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c r="AL854" s="84"/>
      <c r="AM854" s="84"/>
      <c r="AN854" s="84"/>
      <c r="AO854" s="84"/>
      <c r="AP854" s="84"/>
      <c r="AQ854" s="84"/>
      <c r="AR854" s="84"/>
    </row>
    <row r="855" spans="1:44" ht="13.2">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c r="AL855" s="84"/>
      <c r="AM855" s="84"/>
      <c r="AN855" s="84"/>
      <c r="AO855" s="84"/>
      <c r="AP855" s="84"/>
      <c r="AQ855" s="84"/>
      <c r="AR855" s="84"/>
    </row>
    <row r="856" spans="1:44" ht="13.2">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c r="AL856" s="84"/>
      <c r="AM856" s="84"/>
      <c r="AN856" s="84"/>
      <c r="AO856" s="84"/>
      <c r="AP856" s="84"/>
      <c r="AQ856" s="84"/>
      <c r="AR856" s="84"/>
    </row>
    <row r="857" spans="1:44" ht="13.2">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c r="AL857" s="84"/>
      <c r="AM857" s="84"/>
      <c r="AN857" s="84"/>
      <c r="AO857" s="84"/>
      <c r="AP857" s="84"/>
      <c r="AQ857" s="84"/>
      <c r="AR857" s="84"/>
    </row>
    <row r="858" spans="1:44" ht="13.2">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c r="AL858" s="84"/>
      <c r="AM858" s="84"/>
      <c r="AN858" s="84"/>
      <c r="AO858" s="84"/>
      <c r="AP858" s="84"/>
      <c r="AQ858" s="84"/>
      <c r="AR858" s="84"/>
    </row>
    <row r="859" spans="1:44" ht="13.2">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c r="AL859" s="84"/>
      <c r="AM859" s="84"/>
      <c r="AN859" s="84"/>
      <c r="AO859" s="84"/>
      <c r="AP859" s="84"/>
      <c r="AQ859" s="84"/>
      <c r="AR859" s="84"/>
    </row>
    <row r="860" spans="1:44" ht="13.2">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c r="AL860" s="84"/>
      <c r="AM860" s="84"/>
      <c r="AN860" s="84"/>
      <c r="AO860" s="84"/>
      <c r="AP860" s="84"/>
      <c r="AQ860" s="84"/>
      <c r="AR860" s="84"/>
    </row>
    <row r="861" spans="1:44" ht="13.2">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c r="AL861" s="84"/>
      <c r="AM861" s="84"/>
      <c r="AN861" s="84"/>
      <c r="AO861" s="84"/>
      <c r="AP861" s="84"/>
      <c r="AQ861" s="84"/>
      <c r="AR861" s="84"/>
    </row>
    <row r="862" spans="1:44" ht="13.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c r="AL862" s="84"/>
      <c r="AM862" s="84"/>
      <c r="AN862" s="84"/>
      <c r="AO862" s="84"/>
      <c r="AP862" s="84"/>
      <c r="AQ862" s="84"/>
      <c r="AR862" s="84"/>
    </row>
    <row r="863" spans="1:44" ht="13.2">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c r="AL863" s="84"/>
      <c r="AM863" s="84"/>
      <c r="AN863" s="84"/>
      <c r="AO863" s="84"/>
      <c r="AP863" s="84"/>
      <c r="AQ863" s="84"/>
      <c r="AR863" s="84"/>
    </row>
    <row r="864" spans="1:44" ht="13.2">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c r="AL864" s="84"/>
      <c r="AM864" s="84"/>
      <c r="AN864" s="84"/>
      <c r="AO864" s="84"/>
      <c r="AP864" s="84"/>
      <c r="AQ864" s="84"/>
      <c r="AR864" s="84"/>
    </row>
    <row r="865" spans="1:44" ht="13.2">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c r="AL865" s="84"/>
      <c r="AM865" s="84"/>
      <c r="AN865" s="84"/>
      <c r="AO865" s="84"/>
      <c r="AP865" s="84"/>
      <c r="AQ865" s="84"/>
      <c r="AR865" s="84"/>
    </row>
    <row r="866" spans="1:44" ht="13.2">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c r="AL866" s="84"/>
      <c r="AM866" s="84"/>
      <c r="AN866" s="84"/>
      <c r="AO866" s="84"/>
      <c r="AP866" s="84"/>
      <c r="AQ866" s="84"/>
      <c r="AR866" s="84"/>
    </row>
    <row r="867" spans="1:44" ht="13.2">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c r="AL867" s="84"/>
      <c r="AM867" s="84"/>
      <c r="AN867" s="84"/>
      <c r="AO867" s="84"/>
      <c r="AP867" s="84"/>
      <c r="AQ867" s="84"/>
      <c r="AR867" s="84"/>
    </row>
    <row r="868" spans="1:44" ht="13.2">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c r="AL868" s="84"/>
      <c r="AM868" s="84"/>
      <c r="AN868" s="84"/>
      <c r="AO868" s="84"/>
      <c r="AP868" s="84"/>
      <c r="AQ868" s="84"/>
      <c r="AR868" s="84"/>
    </row>
    <row r="869" spans="1:44" ht="13.2">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c r="AL869" s="84"/>
      <c r="AM869" s="84"/>
      <c r="AN869" s="84"/>
      <c r="AO869" s="84"/>
      <c r="AP869" s="84"/>
      <c r="AQ869" s="84"/>
      <c r="AR869" s="84"/>
    </row>
    <row r="870" spans="1:44" ht="13.2">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c r="AL870" s="84"/>
      <c r="AM870" s="84"/>
      <c r="AN870" s="84"/>
      <c r="AO870" s="84"/>
      <c r="AP870" s="84"/>
      <c r="AQ870" s="84"/>
      <c r="AR870" s="84"/>
    </row>
    <row r="871" spans="1:44" ht="13.2">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c r="AL871" s="84"/>
      <c r="AM871" s="84"/>
      <c r="AN871" s="84"/>
      <c r="AO871" s="84"/>
      <c r="AP871" s="84"/>
      <c r="AQ871" s="84"/>
      <c r="AR871" s="84"/>
    </row>
    <row r="872" spans="1:44" ht="13.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c r="AL872" s="84"/>
      <c r="AM872" s="84"/>
      <c r="AN872" s="84"/>
      <c r="AO872" s="84"/>
      <c r="AP872" s="84"/>
      <c r="AQ872" s="84"/>
      <c r="AR872" s="84"/>
    </row>
    <row r="873" spans="1:44" ht="13.2">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c r="AL873" s="84"/>
      <c r="AM873" s="84"/>
      <c r="AN873" s="84"/>
      <c r="AO873" s="84"/>
      <c r="AP873" s="84"/>
      <c r="AQ873" s="84"/>
      <c r="AR873" s="84"/>
    </row>
    <row r="874" spans="1:44" ht="13.2">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c r="AL874" s="84"/>
      <c r="AM874" s="84"/>
      <c r="AN874" s="84"/>
      <c r="AO874" s="84"/>
      <c r="AP874" s="84"/>
      <c r="AQ874" s="84"/>
      <c r="AR874" s="84"/>
    </row>
    <row r="875" spans="1:44" ht="13.2">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c r="AL875" s="84"/>
      <c r="AM875" s="84"/>
      <c r="AN875" s="84"/>
      <c r="AO875" s="84"/>
      <c r="AP875" s="84"/>
      <c r="AQ875" s="84"/>
      <c r="AR875" s="84"/>
    </row>
    <row r="876" spans="1:44" ht="13.2">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c r="AL876" s="84"/>
      <c r="AM876" s="84"/>
      <c r="AN876" s="84"/>
      <c r="AO876" s="84"/>
      <c r="AP876" s="84"/>
      <c r="AQ876" s="84"/>
      <c r="AR876" s="84"/>
    </row>
    <row r="877" spans="1:44" ht="13.2">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c r="AL877" s="84"/>
      <c r="AM877" s="84"/>
      <c r="AN877" s="84"/>
      <c r="AO877" s="84"/>
      <c r="AP877" s="84"/>
      <c r="AQ877" s="84"/>
      <c r="AR877" s="84"/>
    </row>
    <row r="878" spans="1:44" ht="13.2">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c r="AL878" s="84"/>
      <c r="AM878" s="84"/>
      <c r="AN878" s="84"/>
      <c r="AO878" s="84"/>
      <c r="AP878" s="84"/>
      <c r="AQ878" s="84"/>
      <c r="AR878" s="84"/>
    </row>
    <row r="879" spans="1:44" ht="13.2">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c r="AL879" s="84"/>
      <c r="AM879" s="84"/>
      <c r="AN879" s="84"/>
      <c r="AO879" s="84"/>
      <c r="AP879" s="84"/>
      <c r="AQ879" s="84"/>
      <c r="AR879" s="84"/>
    </row>
    <row r="880" spans="1:44" ht="13.2">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c r="AL880" s="84"/>
      <c r="AM880" s="84"/>
      <c r="AN880" s="84"/>
      <c r="AO880" s="84"/>
      <c r="AP880" s="84"/>
      <c r="AQ880" s="84"/>
      <c r="AR880" s="84"/>
    </row>
    <row r="881" spans="1:44" ht="13.2">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c r="AL881" s="84"/>
      <c r="AM881" s="84"/>
      <c r="AN881" s="84"/>
      <c r="AO881" s="84"/>
      <c r="AP881" s="84"/>
      <c r="AQ881" s="84"/>
      <c r="AR881" s="84"/>
    </row>
    <row r="882" spans="1:44" ht="13.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c r="AL882" s="84"/>
      <c r="AM882" s="84"/>
      <c r="AN882" s="84"/>
      <c r="AO882" s="84"/>
      <c r="AP882" s="84"/>
      <c r="AQ882" s="84"/>
      <c r="AR882" s="84"/>
    </row>
    <row r="883" spans="1:44" ht="13.2">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c r="AL883" s="84"/>
      <c r="AM883" s="84"/>
      <c r="AN883" s="84"/>
      <c r="AO883" s="84"/>
      <c r="AP883" s="84"/>
      <c r="AQ883" s="84"/>
      <c r="AR883" s="84"/>
    </row>
    <row r="884" spans="1:44" ht="13.2">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c r="AL884" s="84"/>
      <c r="AM884" s="84"/>
      <c r="AN884" s="84"/>
      <c r="AO884" s="84"/>
      <c r="AP884" s="84"/>
      <c r="AQ884" s="84"/>
      <c r="AR884" s="84"/>
    </row>
    <row r="885" spans="1:44" ht="13.2">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c r="AL885" s="84"/>
      <c r="AM885" s="84"/>
      <c r="AN885" s="84"/>
      <c r="AO885" s="84"/>
      <c r="AP885" s="84"/>
      <c r="AQ885" s="84"/>
      <c r="AR885" s="84"/>
    </row>
    <row r="886" spans="1:44" ht="13.2">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c r="AL886" s="84"/>
      <c r="AM886" s="84"/>
      <c r="AN886" s="84"/>
      <c r="AO886" s="84"/>
      <c r="AP886" s="84"/>
      <c r="AQ886" s="84"/>
      <c r="AR886" s="84"/>
    </row>
    <row r="887" spans="1:44" ht="13.2">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c r="AL887" s="84"/>
      <c r="AM887" s="84"/>
      <c r="AN887" s="84"/>
      <c r="AO887" s="84"/>
      <c r="AP887" s="84"/>
      <c r="AQ887" s="84"/>
      <c r="AR887" s="84"/>
    </row>
    <row r="888" spans="1:44" ht="13.2">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c r="AL888" s="84"/>
      <c r="AM888" s="84"/>
      <c r="AN888" s="84"/>
      <c r="AO888" s="84"/>
      <c r="AP888" s="84"/>
      <c r="AQ888" s="84"/>
      <c r="AR888" s="84"/>
    </row>
    <row r="889" spans="1:44" ht="13.2">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c r="AL889" s="84"/>
      <c r="AM889" s="84"/>
      <c r="AN889" s="84"/>
      <c r="AO889" s="84"/>
      <c r="AP889" s="84"/>
      <c r="AQ889" s="84"/>
      <c r="AR889" s="84"/>
    </row>
    <row r="890" spans="1:44" ht="13.2">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c r="AL890" s="84"/>
      <c r="AM890" s="84"/>
      <c r="AN890" s="84"/>
      <c r="AO890" s="84"/>
      <c r="AP890" s="84"/>
      <c r="AQ890" s="84"/>
      <c r="AR890" s="84"/>
    </row>
    <row r="891" spans="1:44" ht="13.2">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c r="AL891" s="84"/>
      <c r="AM891" s="84"/>
      <c r="AN891" s="84"/>
      <c r="AO891" s="84"/>
      <c r="AP891" s="84"/>
      <c r="AQ891" s="84"/>
      <c r="AR891" s="84"/>
    </row>
    <row r="892" spans="1:44" ht="13.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c r="AL892" s="84"/>
      <c r="AM892" s="84"/>
      <c r="AN892" s="84"/>
      <c r="AO892" s="84"/>
      <c r="AP892" s="84"/>
      <c r="AQ892" s="84"/>
      <c r="AR892" s="84"/>
    </row>
    <row r="893" spans="1:44" ht="13.2">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c r="AL893" s="84"/>
      <c r="AM893" s="84"/>
      <c r="AN893" s="84"/>
      <c r="AO893" s="84"/>
      <c r="AP893" s="84"/>
      <c r="AQ893" s="84"/>
      <c r="AR893" s="84"/>
    </row>
    <row r="894" spans="1:44" ht="13.2">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c r="AL894" s="84"/>
      <c r="AM894" s="84"/>
      <c r="AN894" s="84"/>
      <c r="AO894" s="84"/>
      <c r="AP894" s="84"/>
      <c r="AQ894" s="84"/>
      <c r="AR894" s="84"/>
    </row>
    <row r="895" spans="1:44" ht="13.2">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c r="AL895" s="84"/>
      <c r="AM895" s="84"/>
      <c r="AN895" s="84"/>
      <c r="AO895" s="84"/>
      <c r="AP895" s="84"/>
      <c r="AQ895" s="84"/>
      <c r="AR895" s="84"/>
    </row>
    <row r="896" spans="1:44" ht="13.2">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c r="AL896" s="84"/>
      <c r="AM896" s="84"/>
      <c r="AN896" s="84"/>
      <c r="AO896" s="84"/>
      <c r="AP896" s="84"/>
      <c r="AQ896" s="84"/>
      <c r="AR896" s="84"/>
    </row>
    <row r="897" spans="1:44" ht="13.2">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c r="AL897" s="84"/>
      <c r="AM897" s="84"/>
      <c r="AN897" s="84"/>
      <c r="AO897" s="84"/>
      <c r="AP897" s="84"/>
      <c r="AQ897" s="84"/>
      <c r="AR897" s="84"/>
    </row>
    <row r="898" spans="1:44" ht="13.2">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c r="AL898" s="84"/>
      <c r="AM898" s="84"/>
      <c r="AN898" s="84"/>
      <c r="AO898" s="84"/>
      <c r="AP898" s="84"/>
      <c r="AQ898" s="84"/>
      <c r="AR898" s="84"/>
    </row>
    <row r="899" spans="1:44" ht="13.2">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c r="AL899" s="84"/>
      <c r="AM899" s="84"/>
      <c r="AN899" s="84"/>
      <c r="AO899" s="84"/>
      <c r="AP899" s="84"/>
      <c r="AQ899" s="84"/>
      <c r="AR899" s="84"/>
    </row>
    <row r="900" spans="1:44" ht="13.2">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c r="AL900" s="84"/>
      <c r="AM900" s="84"/>
      <c r="AN900" s="84"/>
      <c r="AO900" s="84"/>
      <c r="AP900" s="84"/>
      <c r="AQ900" s="84"/>
      <c r="AR900" s="84"/>
    </row>
    <row r="901" spans="1:44" ht="13.2">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c r="AL901" s="84"/>
      <c r="AM901" s="84"/>
      <c r="AN901" s="84"/>
      <c r="AO901" s="84"/>
      <c r="AP901" s="84"/>
      <c r="AQ901" s="84"/>
      <c r="AR901" s="84"/>
    </row>
    <row r="902" spans="1:44" ht="13.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c r="AL902" s="84"/>
      <c r="AM902" s="84"/>
      <c r="AN902" s="84"/>
      <c r="AO902" s="84"/>
      <c r="AP902" s="84"/>
      <c r="AQ902" s="84"/>
      <c r="AR902" s="84"/>
    </row>
    <row r="903" spans="1:44" ht="13.2">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c r="AL903" s="84"/>
      <c r="AM903" s="84"/>
      <c r="AN903" s="84"/>
      <c r="AO903" s="84"/>
      <c r="AP903" s="84"/>
      <c r="AQ903" s="84"/>
      <c r="AR903" s="84"/>
    </row>
    <row r="904" spans="1:44" ht="13.2">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c r="AL904" s="84"/>
      <c r="AM904" s="84"/>
      <c r="AN904" s="84"/>
      <c r="AO904" s="84"/>
      <c r="AP904" s="84"/>
      <c r="AQ904" s="84"/>
      <c r="AR904" s="84"/>
    </row>
    <row r="905" spans="1:44" ht="13.2">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c r="AL905" s="84"/>
      <c r="AM905" s="84"/>
      <c r="AN905" s="84"/>
      <c r="AO905" s="84"/>
      <c r="AP905" s="84"/>
      <c r="AQ905" s="84"/>
      <c r="AR905" s="84"/>
    </row>
    <row r="906" spans="1:44" ht="13.2">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c r="AL906" s="84"/>
      <c r="AM906" s="84"/>
      <c r="AN906" s="84"/>
      <c r="AO906" s="84"/>
      <c r="AP906" s="84"/>
      <c r="AQ906" s="84"/>
      <c r="AR906" s="84"/>
    </row>
    <row r="907" spans="1:44" ht="13.2">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c r="AL907" s="84"/>
      <c r="AM907" s="84"/>
      <c r="AN907" s="84"/>
      <c r="AO907" s="84"/>
      <c r="AP907" s="84"/>
      <c r="AQ907" s="84"/>
      <c r="AR907" s="84"/>
    </row>
    <row r="908" spans="1:44" ht="13.2">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c r="AL908" s="84"/>
      <c r="AM908" s="84"/>
      <c r="AN908" s="84"/>
      <c r="AO908" s="84"/>
      <c r="AP908" s="84"/>
      <c r="AQ908" s="84"/>
      <c r="AR908" s="84"/>
    </row>
    <row r="909" spans="1:44" ht="13.2">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c r="AL909" s="84"/>
      <c r="AM909" s="84"/>
      <c r="AN909" s="84"/>
      <c r="AO909" s="84"/>
      <c r="AP909" s="84"/>
      <c r="AQ909" s="84"/>
      <c r="AR909" s="84"/>
    </row>
    <row r="910" spans="1:44" ht="13.2">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c r="AL910" s="84"/>
      <c r="AM910" s="84"/>
      <c r="AN910" s="84"/>
      <c r="AO910" s="84"/>
      <c r="AP910" s="84"/>
      <c r="AQ910" s="84"/>
      <c r="AR910" s="84"/>
    </row>
    <row r="911" spans="1:44" ht="13.2">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c r="AL911" s="84"/>
      <c r="AM911" s="84"/>
      <c r="AN911" s="84"/>
      <c r="AO911" s="84"/>
      <c r="AP911" s="84"/>
      <c r="AQ911" s="84"/>
      <c r="AR911" s="84"/>
    </row>
    <row r="912" spans="1:44" ht="13.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c r="AL912" s="84"/>
      <c r="AM912" s="84"/>
      <c r="AN912" s="84"/>
      <c r="AO912" s="84"/>
      <c r="AP912" s="84"/>
      <c r="AQ912" s="84"/>
      <c r="AR912" s="84"/>
    </row>
    <row r="913" spans="1:44" ht="13.2">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c r="AL913" s="84"/>
      <c r="AM913" s="84"/>
      <c r="AN913" s="84"/>
      <c r="AO913" s="84"/>
      <c r="AP913" s="84"/>
      <c r="AQ913" s="84"/>
      <c r="AR913" s="84"/>
    </row>
    <row r="914" spans="1:44" ht="13.2">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c r="AL914" s="84"/>
      <c r="AM914" s="84"/>
      <c r="AN914" s="84"/>
      <c r="AO914" s="84"/>
      <c r="AP914" s="84"/>
      <c r="AQ914" s="84"/>
      <c r="AR914" s="84"/>
    </row>
    <row r="915" spans="1:44" ht="13.2">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c r="AL915" s="84"/>
      <c r="AM915" s="84"/>
      <c r="AN915" s="84"/>
      <c r="AO915" s="84"/>
      <c r="AP915" s="84"/>
      <c r="AQ915" s="84"/>
      <c r="AR915" s="84"/>
    </row>
    <row r="916" spans="1:44" ht="13.2">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c r="AL916" s="84"/>
      <c r="AM916" s="84"/>
      <c r="AN916" s="84"/>
      <c r="AO916" s="84"/>
      <c r="AP916" s="84"/>
      <c r="AQ916" s="84"/>
      <c r="AR916" s="84"/>
    </row>
    <row r="917" spans="1:44" ht="13.2">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c r="AL917" s="84"/>
      <c r="AM917" s="84"/>
      <c r="AN917" s="84"/>
      <c r="AO917" s="84"/>
      <c r="AP917" s="84"/>
      <c r="AQ917" s="84"/>
      <c r="AR917" s="84"/>
    </row>
    <row r="918" spans="1:44" ht="13.2">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c r="AL918" s="84"/>
      <c r="AM918" s="84"/>
      <c r="AN918" s="84"/>
      <c r="AO918" s="84"/>
      <c r="AP918" s="84"/>
      <c r="AQ918" s="84"/>
      <c r="AR918" s="84"/>
    </row>
    <row r="919" spans="1:44" ht="13.2">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c r="AL919" s="84"/>
      <c r="AM919" s="84"/>
      <c r="AN919" s="84"/>
      <c r="AO919" s="84"/>
      <c r="AP919" s="84"/>
      <c r="AQ919" s="84"/>
      <c r="AR919" s="84"/>
    </row>
    <row r="920" spans="1:44" ht="13.2">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c r="AL920" s="84"/>
      <c r="AM920" s="84"/>
      <c r="AN920" s="84"/>
      <c r="AO920" s="84"/>
      <c r="AP920" s="84"/>
      <c r="AQ920" s="84"/>
      <c r="AR920" s="84"/>
    </row>
    <row r="921" spans="1:44" ht="13.2">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c r="AL921" s="84"/>
      <c r="AM921" s="84"/>
      <c r="AN921" s="84"/>
      <c r="AO921" s="84"/>
      <c r="AP921" s="84"/>
      <c r="AQ921" s="84"/>
      <c r="AR921" s="84"/>
    </row>
    <row r="922" spans="1:44" ht="13.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c r="AL922" s="84"/>
      <c r="AM922" s="84"/>
      <c r="AN922" s="84"/>
      <c r="AO922" s="84"/>
      <c r="AP922" s="84"/>
      <c r="AQ922" s="84"/>
      <c r="AR922" s="84"/>
    </row>
    <row r="923" spans="1:44" ht="13.2">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c r="AL923" s="84"/>
      <c r="AM923" s="84"/>
      <c r="AN923" s="84"/>
      <c r="AO923" s="84"/>
      <c r="AP923" s="84"/>
      <c r="AQ923" s="84"/>
      <c r="AR923" s="84"/>
    </row>
    <row r="924" spans="1:44" ht="13.2">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c r="AL924" s="84"/>
      <c r="AM924" s="84"/>
      <c r="AN924" s="84"/>
      <c r="AO924" s="84"/>
      <c r="AP924" s="84"/>
      <c r="AQ924" s="84"/>
      <c r="AR924" s="84"/>
    </row>
    <row r="925" spans="1:44" ht="13.2">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c r="AL925" s="84"/>
      <c r="AM925" s="84"/>
      <c r="AN925" s="84"/>
      <c r="AO925" s="84"/>
      <c r="AP925" s="84"/>
      <c r="AQ925" s="84"/>
      <c r="AR925" s="84"/>
    </row>
    <row r="926" spans="1:44" ht="13.2">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c r="AL926" s="84"/>
      <c r="AM926" s="84"/>
      <c r="AN926" s="84"/>
      <c r="AO926" s="84"/>
      <c r="AP926" s="84"/>
      <c r="AQ926" s="84"/>
      <c r="AR926" s="84"/>
    </row>
    <row r="927" spans="1:44" ht="13.2">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c r="AL927" s="84"/>
      <c r="AM927" s="84"/>
      <c r="AN927" s="84"/>
      <c r="AO927" s="84"/>
      <c r="AP927" s="84"/>
      <c r="AQ927" s="84"/>
      <c r="AR927" s="84"/>
    </row>
    <row r="928" spans="1:44" ht="13.2">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c r="AL928" s="84"/>
      <c r="AM928" s="84"/>
      <c r="AN928" s="84"/>
      <c r="AO928" s="84"/>
      <c r="AP928" s="84"/>
      <c r="AQ928" s="84"/>
      <c r="AR928" s="84"/>
    </row>
    <row r="929" spans="1:44" ht="13.2">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c r="AL929" s="84"/>
      <c r="AM929" s="84"/>
      <c r="AN929" s="84"/>
      <c r="AO929" s="84"/>
      <c r="AP929" s="84"/>
      <c r="AQ929" s="84"/>
      <c r="AR929" s="84"/>
    </row>
    <row r="930" spans="1:44" ht="13.2">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c r="AL930" s="84"/>
      <c r="AM930" s="84"/>
      <c r="AN930" s="84"/>
      <c r="AO930" s="84"/>
      <c r="AP930" s="84"/>
      <c r="AQ930" s="84"/>
      <c r="AR930" s="84"/>
    </row>
    <row r="931" spans="1:44" ht="13.2">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c r="AL931" s="84"/>
      <c r="AM931" s="84"/>
      <c r="AN931" s="84"/>
      <c r="AO931" s="84"/>
      <c r="AP931" s="84"/>
      <c r="AQ931" s="84"/>
      <c r="AR931" s="84"/>
    </row>
    <row r="932" spans="1:44" ht="1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c r="AL932" s="84"/>
      <c r="AM932" s="84"/>
      <c r="AN932" s="84"/>
      <c r="AO932" s="84"/>
      <c r="AP932" s="84"/>
      <c r="AQ932" s="84"/>
      <c r="AR932" s="84"/>
    </row>
    <row r="933" spans="1:44" ht="13.2">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c r="AK933" s="84"/>
      <c r="AL933" s="84"/>
      <c r="AM933" s="84"/>
      <c r="AN933" s="84"/>
      <c r="AO933" s="84"/>
      <c r="AP933" s="84"/>
      <c r="AQ933" s="84"/>
      <c r="AR933" s="84"/>
    </row>
    <row r="934" spans="1:44" ht="13.2">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c r="AK934" s="84"/>
      <c r="AL934" s="84"/>
      <c r="AM934" s="84"/>
      <c r="AN934" s="84"/>
      <c r="AO934" s="84"/>
      <c r="AP934" s="84"/>
      <c r="AQ934" s="84"/>
      <c r="AR934" s="84"/>
    </row>
    <row r="935" spans="1:44" ht="13.2">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c r="AK935" s="84"/>
      <c r="AL935" s="84"/>
      <c r="AM935" s="84"/>
      <c r="AN935" s="84"/>
      <c r="AO935" s="84"/>
      <c r="AP935" s="84"/>
      <c r="AQ935" s="84"/>
      <c r="AR935" s="84"/>
    </row>
    <row r="936" spans="1:44" ht="13.2">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c r="AK936" s="84"/>
      <c r="AL936" s="84"/>
      <c r="AM936" s="84"/>
      <c r="AN936" s="84"/>
      <c r="AO936" s="84"/>
      <c r="AP936" s="84"/>
      <c r="AQ936" s="84"/>
      <c r="AR936" s="84"/>
    </row>
    <row r="937" spans="1:44" ht="13.2">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c r="AK937" s="84"/>
      <c r="AL937" s="84"/>
      <c r="AM937" s="84"/>
      <c r="AN937" s="84"/>
      <c r="AO937" s="84"/>
      <c r="AP937" s="84"/>
      <c r="AQ937" s="84"/>
      <c r="AR937" s="84"/>
    </row>
    <row r="938" spans="1:44" ht="13.2">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c r="AK938" s="84"/>
      <c r="AL938" s="84"/>
      <c r="AM938" s="84"/>
      <c r="AN938" s="84"/>
      <c r="AO938" s="84"/>
      <c r="AP938" s="84"/>
      <c r="AQ938" s="84"/>
      <c r="AR938" s="84"/>
    </row>
    <row r="939" spans="1:44" ht="13.2">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c r="AK939" s="84"/>
      <c r="AL939" s="84"/>
      <c r="AM939" s="84"/>
      <c r="AN939" s="84"/>
      <c r="AO939" s="84"/>
      <c r="AP939" s="84"/>
      <c r="AQ939" s="84"/>
      <c r="AR939" s="84"/>
    </row>
    <row r="940" spans="1:44" ht="13.2">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c r="AK940" s="84"/>
      <c r="AL940" s="84"/>
      <c r="AM940" s="84"/>
      <c r="AN940" s="84"/>
      <c r="AO940" s="84"/>
      <c r="AP940" s="84"/>
      <c r="AQ940" s="84"/>
      <c r="AR940" s="84"/>
    </row>
    <row r="941" spans="1:44" ht="13.2">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c r="AK941" s="84"/>
      <c r="AL941" s="84"/>
      <c r="AM941" s="84"/>
      <c r="AN941" s="84"/>
      <c r="AO941" s="84"/>
      <c r="AP941" s="84"/>
      <c r="AQ941" s="84"/>
      <c r="AR941" s="84"/>
    </row>
    <row r="942" spans="1:44" ht="13.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c r="AK942" s="84"/>
      <c r="AL942" s="84"/>
      <c r="AM942" s="84"/>
      <c r="AN942" s="84"/>
      <c r="AO942" s="84"/>
      <c r="AP942" s="84"/>
      <c r="AQ942" s="84"/>
      <c r="AR942" s="84"/>
    </row>
    <row r="943" spans="1:44" ht="13.2">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c r="AK943" s="84"/>
      <c r="AL943" s="84"/>
      <c r="AM943" s="84"/>
      <c r="AN943" s="84"/>
      <c r="AO943" s="84"/>
      <c r="AP943" s="84"/>
      <c r="AQ943" s="84"/>
      <c r="AR943" s="84"/>
    </row>
    <row r="944" spans="1:44" ht="13.2">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c r="AK944" s="84"/>
      <c r="AL944" s="84"/>
      <c r="AM944" s="84"/>
      <c r="AN944" s="84"/>
      <c r="AO944" s="84"/>
      <c r="AP944" s="84"/>
      <c r="AQ944" s="84"/>
      <c r="AR944" s="84"/>
    </row>
    <row r="945" spans="1:44" ht="13.2">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c r="AK945" s="84"/>
      <c r="AL945" s="84"/>
      <c r="AM945" s="84"/>
      <c r="AN945" s="84"/>
      <c r="AO945" s="84"/>
      <c r="AP945" s="84"/>
      <c r="AQ945" s="84"/>
      <c r="AR945" s="84"/>
    </row>
    <row r="946" spans="1:44" ht="13.2">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c r="AK946" s="84"/>
      <c r="AL946" s="84"/>
      <c r="AM946" s="84"/>
      <c r="AN946" s="84"/>
      <c r="AO946" s="84"/>
      <c r="AP946" s="84"/>
      <c r="AQ946" s="84"/>
      <c r="AR946" s="84"/>
    </row>
    <row r="947" spans="1:44" ht="13.2">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c r="AK947" s="84"/>
      <c r="AL947" s="84"/>
      <c r="AM947" s="84"/>
      <c r="AN947" s="84"/>
      <c r="AO947" s="84"/>
      <c r="AP947" s="84"/>
      <c r="AQ947" s="84"/>
      <c r="AR947" s="84"/>
    </row>
    <row r="948" spans="1:44" ht="13.2">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c r="AK948" s="84"/>
      <c r="AL948" s="84"/>
      <c r="AM948" s="84"/>
      <c r="AN948" s="84"/>
      <c r="AO948" s="84"/>
      <c r="AP948" s="84"/>
      <c r="AQ948" s="84"/>
      <c r="AR948" s="84"/>
    </row>
    <row r="949" spans="1:44" ht="13.2">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c r="AK949" s="84"/>
      <c r="AL949" s="84"/>
      <c r="AM949" s="84"/>
      <c r="AN949" s="84"/>
      <c r="AO949" s="84"/>
      <c r="AP949" s="84"/>
      <c r="AQ949" s="84"/>
      <c r="AR949" s="84"/>
    </row>
    <row r="950" spans="1:44" ht="13.2">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c r="AK950" s="84"/>
      <c r="AL950" s="84"/>
      <c r="AM950" s="84"/>
      <c r="AN950" s="84"/>
      <c r="AO950" s="84"/>
      <c r="AP950" s="84"/>
      <c r="AQ950" s="84"/>
      <c r="AR950" s="84"/>
    </row>
  </sheetData>
  <autoFilter ref="A2:AR16" xr:uid="{00000000-0009-0000-0000-000006000000}"/>
  <mergeCells count="2">
    <mergeCell ref="H1:U1"/>
    <mergeCell ref="W1:AQ1"/>
  </mergeCells>
  <dataValidations count="4">
    <dataValidation type="list" allowBlank="1" showErrorMessage="1" sqref="H3:L16 P3:P16 S3:S16 U3:W16 Y3:Y16 AG3:AJ16 AL3:AO16 AQ3:AQ16 AC3:AC16" xr:uid="{00000000-0002-0000-0600-000000000000}">
      <formula1>"DA,NE"</formula1>
    </dataValidation>
    <dataValidation type="list" allowBlank="1" showErrorMessage="1" sqref="Z3:Z16" xr:uid="{00000000-0002-0000-0600-000001000000}">
      <formula1>"DA, SVE,DA, samo prostor,DA, samo društvene,NE"</formula1>
    </dataValidation>
    <dataValidation type="list" allowBlank="1" showErrorMessage="1" sqref="AB3:AB16" xr:uid="{00000000-0002-0000-0600-000002000000}">
      <formula1>"DA, sve,DA, samo flajeri,DA, samo plakat,NE"</formula1>
    </dataValidation>
    <dataValidation type="list" allowBlank="1" showErrorMessage="1" sqref="X3:X16 AF3:AF16 AK3:AK16" xr:uid="{00000000-0002-0000-0600-000003000000}">
      <formula1>"DA,NE,Javili se da ne mogu"</formula1>
    </dataValidation>
  </dataValidations>
  <hyperlinks>
    <hyperlink ref="Y2" r:id="rId1" xr:uid="{00000000-0004-0000-0600-000000000000}"/>
    <hyperlink ref="AG2" r:id="rId2" xr:uid="{00000000-0004-0000-0600-000001000000}"/>
    <hyperlink ref="AH2" r:id="rId3" xr:uid="{00000000-0004-0000-06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6"/>
  <sheetViews>
    <sheetView workbookViewId="0"/>
  </sheetViews>
  <sheetFormatPr defaultColWidth="12.6640625" defaultRowHeight="15.75" customHeight="1"/>
  <sheetData>
    <row r="1" spans="1:17" ht="55.2">
      <c r="A1" s="210" t="s">
        <v>312</v>
      </c>
      <c r="B1" s="211" t="s">
        <v>550</v>
      </c>
      <c r="C1" s="212" t="s">
        <v>876</v>
      </c>
      <c r="D1" s="212" t="s">
        <v>552</v>
      </c>
      <c r="E1" s="212" t="s">
        <v>553</v>
      </c>
      <c r="F1" s="212" t="s">
        <v>877</v>
      </c>
      <c r="G1" s="213" t="s">
        <v>878</v>
      </c>
      <c r="H1" s="214" t="s">
        <v>879</v>
      </c>
      <c r="I1" s="213" t="s">
        <v>880</v>
      </c>
      <c r="J1" s="213" t="s">
        <v>881</v>
      </c>
      <c r="K1" s="213" t="s">
        <v>882</v>
      </c>
      <c r="L1" s="215" t="s">
        <v>883</v>
      </c>
      <c r="M1" s="216" t="s">
        <v>884</v>
      </c>
      <c r="N1" s="217" t="s">
        <v>794</v>
      </c>
      <c r="O1" s="217" t="s">
        <v>885</v>
      </c>
      <c r="P1" s="216" t="s">
        <v>795</v>
      </c>
      <c r="Q1" s="216" t="s">
        <v>23</v>
      </c>
    </row>
    <row r="2" spans="1:17" ht="15.75" customHeight="1">
      <c r="A2" s="218"/>
      <c r="B2" s="219" t="s">
        <v>886</v>
      </c>
      <c r="C2" s="84"/>
      <c r="D2" s="84"/>
      <c r="E2" s="84"/>
      <c r="F2" s="84"/>
      <c r="G2" s="84"/>
      <c r="H2" s="84"/>
      <c r="I2" s="84"/>
      <c r="J2" s="84"/>
      <c r="K2" s="84"/>
      <c r="L2" s="220"/>
      <c r="M2" s="221"/>
      <c r="N2" s="84"/>
      <c r="O2" s="84"/>
      <c r="P2" s="84"/>
      <c r="Q2" s="222"/>
    </row>
    <row r="3" spans="1:17" ht="15.75" customHeight="1">
      <c r="A3" s="153"/>
      <c r="B3" s="154" t="s">
        <v>887</v>
      </c>
      <c r="C3" s="153"/>
      <c r="D3" s="155"/>
      <c r="E3" s="155"/>
      <c r="F3" s="155"/>
      <c r="G3" s="153"/>
      <c r="H3" s="153"/>
      <c r="I3" s="156"/>
      <c r="J3" s="153"/>
      <c r="K3" s="153"/>
      <c r="L3" s="223"/>
      <c r="M3" s="223"/>
      <c r="N3" s="153"/>
      <c r="O3" s="153"/>
      <c r="P3" s="153"/>
      <c r="Q3" s="153"/>
    </row>
    <row r="4" spans="1:17" ht="55.2">
      <c r="A4" s="224">
        <v>1</v>
      </c>
      <c r="B4" s="225" t="s">
        <v>227</v>
      </c>
      <c r="C4" s="226" t="s">
        <v>621</v>
      </c>
      <c r="D4" s="108"/>
      <c r="E4" s="225" t="s">
        <v>622</v>
      </c>
      <c r="F4" s="227" t="s">
        <v>623</v>
      </c>
      <c r="G4" s="108" t="s">
        <v>624</v>
      </c>
      <c r="H4" s="226" t="s">
        <v>625</v>
      </c>
      <c r="I4" s="228">
        <v>45540</v>
      </c>
      <c r="J4" s="229">
        <v>45517</v>
      </c>
      <c r="K4" s="108"/>
      <c r="L4" s="108"/>
      <c r="M4" s="108"/>
      <c r="N4" s="108"/>
      <c r="O4" s="108"/>
      <c r="P4" s="108"/>
      <c r="Q4" s="108"/>
    </row>
    <row r="5" spans="1:17" ht="41.4">
      <c r="A5" s="230">
        <v>2</v>
      </c>
      <c r="B5" s="231" t="s">
        <v>60</v>
      </c>
      <c r="C5" s="227" t="s">
        <v>61</v>
      </c>
      <c r="D5" s="232" t="s">
        <v>888</v>
      </c>
      <c r="E5" s="233" t="s">
        <v>838</v>
      </c>
      <c r="F5" s="233" t="s">
        <v>838</v>
      </c>
      <c r="G5" s="231" t="s">
        <v>839</v>
      </c>
      <c r="H5" s="227" t="s">
        <v>840</v>
      </c>
      <c r="I5" s="234">
        <v>45561</v>
      </c>
      <c r="J5" s="234">
        <v>45569</v>
      </c>
      <c r="K5" s="234">
        <v>45572</v>
      </c>
      <c r="L5" s="235">
        <v>45586</v>
      </c>
      <c r="M5" s="236"/>
      <c r="N5" s="237"/>
      <c r="O5" s="238" t="s">
        <v>889</v>
      </c>
      <c r="P5" s="237"/>
      <c r="Q5" s="239" t="s">
        <v>890</v>
      </c>
    </row>
    <row r="6" spans="1:17" ht="41.4">
      <c r="A6" s="224">
        <v>3</v>
      </c>
      <c r="B6" s="225" t="s">
        <v>891</v>
      </c>
      <c r="C6" s="240" t="s">
        <v>892</v>
      </c>
      <c r="D6" s="241" t="s">
        <v>893</v>
      </c>
      <c r="E6" s="225" t="s">
        <v>894</v>
      </c>
      <c r="F6" s="225" t="s">
        <v>895</v>
      </c>
      <c r="G6" s="225" t="s">
        <v>896</v>
      </c>
      <c r="H6" s="108" t="s">
        <v>897</v>
      </c>
      <c r="I6" s="228">
        <v>45572</v>
      </c>
      <c r="J6" s="228">
        <v>45587</v>
      </c>
      <c r="K6" s="242" t="s">
        <v>898</v>
      </c>
      <c r="L6" s="243" t="s">
        <v>899</v>
      </c>
      <c r="M6" s="108"/>
      <c r="N6" s="244"/>
      <c r="O6" s="108"/>
      <c r="P6" s="108"/>
      <c r="Q6" s="10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41"/>
  <sheetViews>
    <sheetView workbookViewId="0"/>
  </sheetViews>
  <sheetFormatPr defaultColWidth="12.6640625" defaultRowHeight="15.75" customHeight="1"/>
  <sheetData>
    <row r="1" spans="1:17" ht="55.2">
      <c r="A1" s="210" t="s">
        <v>312</v>
      </c>
      <c r="B1" s="211" t="s">
        <v>550</v>
      </c>
      <c r="C1" s="212" t="s">
        <v>876</v>
      </c>
      <c r="D1" s="212" t="s">
        <v>552</v>
      </c>
      <c r="E1" s="212" t="s">
        <v>553</v>
      </c>
      <c r="F1" s="212" t="s">
        <v>877</v>
      </c>
      <c r="G1" s="213" t="s">
        <v>878</v>
      </c>
      <c r="H1" s="214" t="s">
        <v>879</v>
      </c>
      <c r="I1" s="213" t="s">
        <v>880</v>
      </c>
      <c r="J1" s="213" t="s">
        <v>881</v>
      </c>
      <c r="K1" s="213" t="s">
        <v>882</v>
      </c>
      <c r="L1" s="215" t="s">
        <v>883</v>
      </c>
      <c r="M1" s="216" t="s">
        <v>884</v>
      </c>
      <c r="N1" s="217" t="s">
        <v>794</v>
      </c>
      <c r="O1" s="217" t="s">
        <v>885</v>
      </c>
      <c r="P1" s="216" t="s">
        <v>795</v>
      </c>
      <c r="Q1" s="216" t="s">
        <v>23</v>
      </c>
    </row>
    <row r="2" spans="1:17" ht="15.75" customHeight="1">
      <c r="A2" s="218"/>
      <c r="B2" s="219" t="s">
        <v>886</v>
      </c>
      <c r="C2" s="84"/>
      <c r="D2" s="84"/>
      <c r="E2" s="84"/>
      <c r="F2" s="84"/>
      <c r="G2" s="84"/>
      <c r="H2" s="84"/>
      <c r="I2" s="84"/>
      <c r="J2" s="84"/>
      <c r="K2" s="84"/>
      <c r="L2" s="220"/>
      <c r="M2" s="221"/>
      <c r="N2" s="84"/>
      <c r="O2" s="84"/>
      <c r="P2" s="84"/>
      <c r="Q2" s="222"/>
    </row>
    <row r="3" spans="1:17" ht="15.75" customHeight="1">
      <c r="A3" s="153"/>
      <c r="B3" s="154" t="s">
        <v>887</v>
      </c>
      <c r="C3" s="153"/>
      <c r="D3" s="155"/>
      <c r="E3" s="155"/>
      <c r="F3" s="155"/>
      <c r="G3" s="153"/>
      <c r="H3" s="153"/>
      <c r="I3" s="156"/>
      <c r="J3" s="153"/>
      <c r="K3" s="153"/>
      <c r="L3" s="223"/>
      <c r="M3" s="223"/>
      <c r="N3" s="153"/>
      <c r="O3" s="153"/>
      <c r="P3" s="153"/>
      <c r="Q3" s="153"/>
    </row>
    <row r="4" spans="1:17" ht="13.8">
      <c r="A4" s="230">
        <v>1</v>
      </c>
      <c r="B4" s="231" t="s">
        <v>664</v>
      </c>
      <c r="C4" s="237"/>
      <c r="D4" s="245"/>
      <c r="E4" s="233" t="s">
        <v>900</v>
      </c>
      <c r="F4" s="245"/>
      <c r="G4" s="237"/>
      <c r="H4" s="237"/>
      <c r="I4" s="234">
        <v>44820</v>
      </c>
      <c r="J4" s="237"/>
      <c r="K4" s="237"/>
      <c r="L4" s="246"/>
      <c r="M4" s="236"/>
      <c r="N4" s="237"/>
      <c r="O4" s="237"/>
      <c r="P4" s="237"/>
      <c r="Q4" s="108"/>
    </row>
    <row r="5" spans="1:17" ht="27.6">
      <c r="A5" s="230">
        <v>2</v>
      </c>
      <c r="B5" s="231" t="s">
        <v>901</v>
      </c>
      <c r="C5" s="227" t="s">
        <v>194</v>
      </c>
      <c r="D5" s="237"/>
      <c r="E5" s="231" t="s">
        <v>902</v>
      </c>
      <c r="F5" s="237"/>
      <c r="G5" s="227" t="s">
        <v>903</v>
      </c>
      <c r="H5" s="231" t="s">
        <v>904</v>
      </c>
      <c r="I5" s="234">
        <v>44824</v>
      </c>
      <c r="J5" s="234">
        <v>44825</v>
      </c>
      <c r="K5" s="234">
        <v>44840</v>
      </c>
      <c r="L5" s="247" t="s">
        <v>905</v>
      </c>
      <c r="M5" s="247" t="s">
        <v>906</v>
      </c>
      <c r="N5" s="237"/>
      <c r="O5" s="237"/>
      <c r="P5" s="237"/>
      <c r="Q5" s="248" t="s">
        <v>907</v>
      </c>
    </row>
    <row r="6" spans="1:17" ht="27.6">
      <c r="A6" s="230">
        <v>3</v>
      </c>
      <c r="B6" s="231" t="s">
        <v>227</v>
      </c>
      <c r="C6" s="227" t="s">
        <v>908</v>
      </c>
      <c r="D6" s="237"/>
      <c r="E6" s="231" t="s">
        <v>909</v>
      </c>
      <c r="F6" s="237"/>
      <c r="G6" s="231" t="s">
        <v>910</v>
      </c>
      <c r="H6" s="237"/>
      <c r="I6" s="234">
        <v>44824</v>
      </c>
      <c r="J6" s="234">
        <v>44826</v>
      </c>
      <c r="K6" s="234">
        <v>44840</v>
      </c>
      <c r="L6" s="249">
        <v>44894</v>
      </c>
      <c r="M6" s="236"/>
      <c r="N6" s="234">
        <v>45014</v>
      </c>
      <c r="O6" s="231" t="s">
        <v>911</v>
      </c>
      <c r="P6" s="237"/>
      <c r="Q6" s="237"/>
    </row>
    <row r="7" spans="1:17" ht="55.2">
      <c r="A7" s="230">
        <v>4</v>
      </c>
      <c r="B7" s="231" t="s">
        <v>912</v>
      </c>
      <c r="C7" s="227" t="s">
        <v>913</v>
      </c>
      <c r="D7" s="237"/>
      <c r="E7" s="231" t="s">
        <v>914</v>
      </c>
      <c r="F7" s="237"/>
      <c r="G7" s="231" t="s">
        <v>915</v>
      </c>
      <c r="H7" s="231" t="s">
        <v>916</v>
      </c>
      <c r="I7" s="234">
        <v>45166</v>
      </c>
      <c r="J7" s="237"/>
      <c r="K7" s="250">
        <v>45194</v>
      </c>
      <c r="L7" s="249">
        <v>45209</v>
      </c>
      <c r="M7" s="251">
        <v>45327</v>
      </c>
      <c r="N7" s="237"/>
      <c r="O7" s="237" t="s">
        <v>917</v>
      </c>
      <c r="P7" s="231" t="s">
        <v>918</v>
      </c>
      <c r="Q7" s="237"/>
    </row>
    <row r="8" spans="1:17" ht="41.4">
      <c r="A8" s="230">
        <v>5</v>
      </c>
      <c r="B8" s="231" t="s">
        <v>227</v>
      </c>
      <c r="C8" s="252" t="s">
        <v>919</v>
      </c>
      <c r="D8" s="237"/>
      <c r="E8" s="231" t="s">
        <v>623</v>
      </c>
      <c r="F8" s="237"/>
      <c r="G8" s="231" t="s">
        <v>920</v>
      </c>
      <c r="H8" s="231" t="s">
        <v>921</v>
      </c>
      <c r="I8" s="253" t="s">
        <v>922</v>
      </c>
      <c r="J8" s="234">
        <v>45188</v>
      </c>
      <c r="K8" s="234">
        <v>45203</v>
      </c>
      <c r="L8" s="236"/>
      <c r="M8" s="236"/>
      <c r="N8" s="237"/>
      <c r="O8" s="237"/>
      <c r="P8" s="237"/>
      <c r="Q8" s="254" t="s">
        <v>923</v>
      </c>
    </row>
    <row r="9" spans="1:17" ht="55.2">
      <c r="A9" s="230">
        <v>6</v>
      </c>
      <c r="B9" s="231" t="s">
        <v>912</v>
      </c>
      <c r="C9" s="227" t="s">
        <v>913</v>
      </c>
      <c r="D9" s="237"/>
      <c r="E9" s="231" t="s">
        <v>914</v>
      </c>
      <c r="F9" s="237"/>
      <c r="G9" s="231" t="s">
        <v>915</v>
      </c>
      <c r="H9" s="231" t="s">
        <v>916</v>
      </c>
      <c r="I9" s="234">
        <v>45014</v>
      </c>
      <c r="J9" s="237"/>
      <c r="K9" s="237"/>
      <c r="L9" s="249">
        <v>45209</v>
      </c>
      <c r="M9" s="251">
        <v>45327</v>
      </c>
      <c r="N9" s="237"/>
      <c r="O9" s="231" t="s">
        <v>924</v>
      </c>
      <c r="P9" s="237"/>
      <c r="Q9" s="255" t="s">
        <v>925</v>
      </c>
    </row>
    <row r="10" spans="1:17" ht="96.6">
      <c r="A10" s="230">
        <v>7</v>
      </c>
      <c r="B10" s="231" t="s">
        <v>60</v>
      </c>
      <c r="C10" s="227" t="s">
        <v>61</v>
      </c>
      <c r="D10" s="245"/>
      <c r="E10" s="233" t="s">
        <v>838</v>
      </c>
      <c r="F10" s="245"/>
      <c r="G10" s="231" t="s">
        <v>839</v>
      </c>
      <c r="H10" s="231" t="s">
        <v>840</v>
      </c>
      <c r="I10" s="253" t="s">
        <v>926</v>
      </c>
      <c r="J10" s="234">
        <v>44825</v>
      </c>
      <c r="K10" s="234">
        <v>44840</v>
      </c>
      <c r="L10" s="249">
        <v>44853</v>
      </c>
      <c r="M10" s="236"/>
      <c r="N10" s="253" t="s">
        <v>57</v>
      </c>
      <c r="O10" s="231" t="s">
        <v>927</v>
      </c>
      <c r="P10" s="253" t="s">
        <v>57</v>
      </c>
      <c r="Q10" s="239" t="s">
        <v>928</v>
      </c>
    </row>
    <row r="11" spans="1:17" ht="69">
      <c r="A11" s="230">
        <v>8</v>
      </c>
      <c r="B11" s="231" t="s">
        <v>138</v>
      </c>
      <c r="C11" s="227" t="s">
        <v>929</v>
      </c>
      <c r="D11" s="245"/>
      <c r="E11" s="233" t="s">
        <v>930</v>
      </c>
      <c r="F11" s="245"/>
      <c r="G11" s="231" t="s">
        <v>931</v>
      </c>
      <c r="H11" s="237"/>
      <c r="I11" s="237"/>
      <c r="J11" s="237"/>
      <c r="K11" s="237"/>
      <c r="L11" s="249">
        <v>44860</v>
      </c>
      <c r="M11" s="236"/>
      <c r="N11" s="256">
        <v>44909</v>
      </c>
      <c r="O11" s="231" t="s">
        <v>932</v>
      </c>
      <c r="P11" s="237"/>
      <c r="Q11" s="237"/>
    </row>
    <row r="12" spans="1:17" ht="13.8">
      <c r="A12" s="230">
        <v>9</v>
      </c>
      <c r="B12" s="231" t="s">
        <v>664</v>
      </c>
      <c r="C12" s="237"/>
      <c r="D12" s="245"/>
      <c r="E12" s="233" t="s">
        <v>933</v>
      </c>
      <c r="F12" s="245"/>
      <c r="G12" s="237"/>
      <c r="H12" s="237"/>
      <c r="I12" s="234">
        <v>44937</v>
      </c>
      <c r="J12" s="237"/>
      <c r="K12" s="237"/>
      <c r="L12" s="236"/>
      <c r="M12" s="236"/>
      <c r="N12" s="237"/>
      <c r="O12" s="237"/>
      <c r="P12" s="237"/>
      <c r="Q12" s="237"/>
    </row>
    <row r="13" spans="1:17" ht="27.6">
      <c r="A13" s="230">
        <v>10</v>
      </c>
      <c r="B13" s="231" t="s">
        <v>60</v>
      </c>
      <c r="C13" s="227" t="s">
        <v>61</v>
      </c>
      <c r="D13" s="245"/>
      <c r="E13" s="233" t="s">
        <v>838</v>
      </c>
      <c r="F13" s="245"/>
      <c r="G13" s="231" t="s">
        <v>839</v>
      </c>
      <c r="H13" s="231" t="s">
        <v>840</v>
      </c>
      <c r="I13" s="237"/>
      <c r="J13" s="234">
        <v>45205</v>
      </c>
      <c r="K13" s="234">
        <v>45205</v>
      </c>
      <c r="L13" s="249">
        <v>45229</v>
      </c>
      <c r="M13" s="236"/>
      <c r="N13" s="237"/>
      <c r="O13" s="231" t="s">
        <v>934</v>
      </c>
      <c r="P13" s="237"/>
      <c r="Q13" s="237"/>
    </row>
    <row r="14" spans="1:17" ht="82.8">
      <c r="A14" s="230">
        <v>11</v>
      </c>
      <c r="B14" s="231" t="s">
        <v>891</v>
      </c>
      <c r="C14" s="227" t="s">
        <v>935</v>
      </c>
      <c r="D14" s="245"/>
      <c r="E14" s="233" t="s">
        <v>894</v>
      </c>
      <c r="F14" s="245"/>
      <c r="G14" s="231" t="s">
        <v>936</v>
      </c>
      <c r="H14" s="231" t="s">
        <v>937</v>
      </c>
      <c r="I14" s="253" t="s">
        <v>938</v>
      </c>
      <c r="J14" s="257">
        <v>45224</v>
      </c>
      <c r="K14" s="237"/>
      <c r="L14" s="249">
        <v>45231</v>
      </c>
      <c r="M14" s="249">
        <v>45280</v>
      </c>
      <c r="N14" s="237"/>
      <c r="O14" s="231" t="s">
        <v>939</v>
      </c>
      <c r="P14" s="237"/>
      <c r="Q14" s="248" t="s">
        <v>907</v>
      </c>
    </row>
    <row r="15" spans="1:17" ht="409.6">
      <c r="A15" s="230">
        <v>12</v>
      </c>
      <c r="B15" s="258" t="s">
        <v>358</v>
      </c>
      <c r="C15" s="259" t="s">
        <v>940</v>
      </c>
      <c r="D15" s="260" t="s">
        <v>941</v>
      </c>
      <c r="E15" s="259" t="s">
        <v>942</v>
      </c>
      <c r="F15" s="261"/>
      <c r="G15" s="231" t="s">
        <v>943</v>
      </c>
      <c r="H15" s="231" t="s">
        <v>944</v>
      </c>
      <c r="I15" s="253" t="s">
        <v>938</v>
      </c>
      <c r="J15" s="262">
        <v>45350</v>
      </c>
      <c r="K15" s="234">
        <v>45358</v>
      </c>
      <c r="L15" s="249">
        <v>45386</v>
      </c>
      <c r="M15" s="247" t="s">
        <v>945</v>
      </c>
      <c r="N15" s="237"/>
      <c r="O15" s="231" t="s">
        <v>946</v>
      </c>
      <c r="P15" s="253" t="s">
        <v>57</v>
      </c>
      <c r="Q15" s="239" t="s">
        <v>947</v>
      </c>
    </row>
    <row r="16" spans="1:17" ht="13.8">
      <c r="A16" s="230">
        <v>13</v>
      </c>
      <c r="B16" s="258" t="s">
        <v>948</v>
      </c>
      <c r="C16" s="252" t="s">
        <v>949</v>
      </c>
      <c r="D16" s="237"/>
      <c r="E16" s="225" t="s">
        <v>950</v>
      </c>
      <c r="F16" s="108"/>
      <c r="G16" s="231" t="s">
        <v>951</v>
      </c>
      <c r="H16" s="231" t="s">
        <v>952</v>
      </c>
      <c r="I16" s="234">
        <v>45356</v>
      </c>
      <c r="J16" s="263"/>
      <c r="K16" s="237"/>
      <c r="L16" s="264"/>
      <c r="M16" s="264"/>
      <c r="N16" s="237"/>
      <c r="O16" s="237"/>
      <c r="P16" s="237"/>
      <c r="Q16" s="265" t="s">
        <v>953</v>
      </c>
    </row>
    <row r="17" spans="1:17" ht="13.8">
      <c r="A17" s="230">
        <v>14</v>
      </c>
      <c r="B17" s="258" t="s">
        <v>954</v>
      </c>
      <c r="C17" s="252" t="s">
        <v>955</v>
      </c>
      <c r="D17" s="237"/>
      <c r="E17" s="225" t="s">
        <v>956</v>
      </c>
      <c r="F17" s="108"/>
      <c r="G17" s="237"/>
      <c r="H17" s="237"/>
      <c r="I17" s="237"/>
      <c r="J17" s="263"/>
      <c r="K17" s="237"/>
      <c r="L17" s="264"/>
      <c r="M17" s="264"/>
      <c r="N17" s="237"/>
      <c r="O17" s="237"/>
      <c r="P17" s="237"/>
      <c r="Q17" s="237"/>
    </row>
    <row r="18" spans="1:17" ht="69">
      <c r="A18" s="230">
        <v>15</v>
      </c>
      <c r="B18" s="231" t="s">
        <v>250</v>
      </c>
      <c r="C18" s="227" t="s">
        <v>957</v>
      </c>
      <c r="D18" s="237"/>
      <c r="E18" s="231" t="s">
        <v>958</v>
      </c>
      <c r="F18" s="237"/>
      <c r="G18" s="233" t="s">
        <v>959</v>
      </c>
      <c r="H18" s="225" t="s">
        <v>960</v>
      </c>
      <c r="I18" s="237"/>
      <c r="J18" s="253" t="s">
        <v>961</v>
      </c>
      <c r="K18" s="234">
        <v>45181</v>
      </c>
      <c r="L18" s="251">
        <v>45345</v>
      </c>
      <c r="M18" s="251">
        <v>45447</v>
      </c>
      <c r="N18" s="237"/>
      <c r="O18" s="231" t="s">
        <v>962</v>
      </c>
      <c r="P18" s="253" t="s">
        <v>57</v>
      </c>
      <c r="Q18" s="255" t="s">
        <v>963</v>
      </c>
    </row>
    <row r="19" spans="1:17" ht="27.6">
      <c r="A19" s="230">
        <v>16</v>
      </c>
      <c r="B19" s="233" t="s">
        <v>210</v>
      </c>
      <c r="C19" s="252" t="s">
        <v>211</v>
      </c>
      <c r="D19" s="266"/>
      <c r="E19" s="233" t="s">
        <v>964</v>
      </c>
      <c r="F19" s="245"/>
      <c r="G19" s="225" t="s">
        <v>965</v>
      </c>
      <c r="H19" s="225" t="s">
        <v>966</v>
      </c>
      <c r="I19" s="224" t="s">
        <v>967</v>
      </c>
      <c r="J19" s="228">
        <v>44867</v>
      </c>
      <c r="K19" s="267">
        <v>44879</v>
      </c>
      <c r="L19" s="268">
        <v>44882</v>
      </c>
      <c r="M19" s="269"/>
      <c r="N19" s="108"/>
      <c r="O19" s="108"/>
      <c r="P19" s="108"/>
      <c r="Q19" s="108"/>
    </row>
    <row r="20" spans="1:17" ht="27.6">
      <c r="A20" s="230">
        <v>17</v>
      </c>
      <c r="B20" s="258" t="s">
        <v>968</v>
      </c>
      <c r="C20" s="252" t="s">
        <v>969</v>
      </c>
      <c r="D20" s="225" t="s">
        <v>970</v>
      </c>
      <c r="E20" s="233" t="s">
        <v>971</v>
      </c>
      <c r="F20" s="245"/>
      <c r="G20" s="270" t="s">
        <v>972</v>
      </c>
      <c r="H20" s="270" t="s">
        <v>973</v>
      </c>
      <c r="I20" s="271">
        <v>45315</v>
      </c>
      <c r="J20" s="271">
        <v>45370</v>
      </c>
      <c r="K20" s="272"/>
      <c r="L20" s="273">
        <v>45394</v>
      </c>
      <c r="M20" s="274">
        <v>45448</v>
      </c>
      <c r="N20" s="185"/>
      <c r="O20" s="185"/>
      <c r="P20" s="185"/>
      <c r="Q20" s="275" t="s">
        <v>974</v>
      </c>
    </row>
    <row r="21" spans="1:17" ht="55.2">
      <c r="A21" s="230">
        <v>18</v>
      </c>
      <c r="B21" s="258" t="s">
        <v>975</v>
      </c>
      <c r="C21" s="252" t="s">
        <v>976</v>
      </c>
      <c r="D21" s="185"/>
      <c r="E21" s="245"/>
      <c r="F21" s="245"/>
      <c r="G21" s="276" t="s">
        <v>977</v>
      </c>
      <c r="H21" s="270" t="s">
        <v>978</v>
      </c>
      <c r="I21" s="230" t="s">
        <v>979</v>
      </c>
      <c r="J21" s="277"/>
      <c r="K21" s="272"/>
      <c r="L21" s="273">
        <v>45328</v>
      </c>
      <c r="M21" s="274">
        <v>45377</v>
      </c>
      <c r="N21" s="185"/>
      <c r="O21" s="270" t="s">
        <v>980</v>
      </c>
      <c r="P21" s="230" t="s">
        <v>57</v>
      </c>
      <c r="Q21" s="275" t="s">
        <v>981</v>
      </c>
    </row>
    <row r="22" spans="1:17" ht="27.6">
      <c r="A22" s="230">
        <v>19</v>
      </c>
      <c r="B22" s="258" t="s">
        <v>982</v>
      </c>
      <c r="C22" s="252" t="s">
        <v>983</v>
      </c>
      <c r="D22" s="225">
        <f>38761185163</f>
        <v>38761185163</v>
      </c>
      <c r="E22" s="233" t="s">
        <v>984</v>
      </c>
      <c r="F22" s="245"/>
      <c r="G22" s="185"/>
      <c r="H22" s="185"/>
      <c r="I22" s="230" t="s">
        <v>979</v>
      </c>
      <c r="J22" s="277"/>
      <c r="K22" s="272"/>
      <c r="L22" s="278"/>
      <c r="M22" s="279"/>
      <c r="N22" s="185"/>
      <c r="O22" s="185"/>
      <c r="P22" s="185"/>
      <c r="Q22" s="275" t="s">
        <v>985</v>
      </c>
    </row>
    <row r="23" spans="1:17" ht="27.6">
      <c r="A23" s="230">
        <v>20</v>
      </c>
      <c r="B23" s="280"/>
      <c r="C23" s="252" t="s">
        <v>986</v>
      </c>
      <c r="D23" s="185"/>
      <c r="E23" s="233" t="s">
        <v>987</v>
      </c>
      <c r="F23" s="245"/>
      <c r="G23" s="185"/>
      <c r="H23" s="185"/>
      <c r="I23" s="185"/>
      <c r="J23" s="277"/>
      <c r="K23" s="272"/>
      <c r="L23" s="278"/>
      <c r="M23" s="279"/>
      <c r="N23" s="185"/>
      <c r="O23" s="185"/>
      <c r="P23" s="185"/>
      <c r="Q23" s="281"/>
    </row>
    <row r="24" spans="1:17" ht="13.8">
      <c r="A24" s="230">
        <v>21</v>
      </c>
      <c r="B24" s="282" t="s">
        <v>89</v>
      </c>
      <c r="C24" s="283" t="s">
        <v>988</v>
      </c>
      <c r="D24" s="284" t="s">
        <v>989</v>
      </c>
      <c r="E24" s="285" t="s">
        <v>990</v>
      </c>
      <c r="F24" s="286"/>
      <c r="G24" s="287"/>
      <c r="H24" s="287"/>
      <c r="I24" s="288"/>
      <c r="J24" s="287"/>
      <c r="K24" s="287"/>
      <c r="L24" s="289"/>
      <c r="M24" s="289"/>
      <c r="N24" s="287"/>
      <c r="O24" s="287"/>
      <c r="P24" s="287"/>
      <c r="Q24" s="284" t="s">
        <v>991</v>
      </c>
    </row>
    <row r="25" spans="1:17" ht="13.8">
      <c r="A25" s="290">
        <v>22</v>
      </c>
      <c r="B25" s="291" t="s">
        <v>992</v>
      </c>
      <c r="C25" s="292" t="s">
        <v>993</v>
      </c>
      <c r="D25" s="293"/>
      <c r="E25" s="294" t="s">
        <v>994</v>
      </c>
      <c r="F25" s="293"/>
      <c r="G25" s="295" t="s">
        <v>995</v>
      </c>
      <c r="H25" s="295" t="s">
        <v>996</v>
      </c>
      <c r="I25" s="296">
        <v>45356</v>
      </c>
      <c r="J25" s="297"/>
      <c r="K25" s="297"/>
      <c r="L25" s="293"/>
      <c r="M25" s="293"/>
      <c r="N25" s="293"/>
      <c r="O25" s="293"/>
      <c r="P25" s="293"/>
      <c r="Q25" s="295" t="s">
        <v>997</v>
      </c>
    </row>
    <row r="26" spans="1:17" ht="15.75" customHeight="1">
      <c r="A26" s="155"/>
      <c r="B26" s="154" t="s">
        <v>998</v>
      </c>
      <c r="C26" s="298"/>
      <c r="D26" s="155"/>
      <c r="E26" s="155"/>
      <c r="F26" s="155"/>
      <c r="G26" s="155"/>
      <c r="H26" s="155"/>
      <c r="I26" s="299"/>
      <c r="J26" s="155"/>
      <c r="K26" s="155"/>
      <c r="L26" s="300"/>
      <c r="M26" s="300"/>
      <c r="N26" s="155"/>
      <c r="O26" s="155"/>
      <c r="P26" s="155"/>
      <c r="Q26" s="155"/>
    </row>
    <row r="27" spans="1:17" ht="13.8">
      <c r="A27" s="230">
        <v>1</v>
      </c>
      <c r="B27" s="466" t="s">
        <v>250</v>
      </c>
      <c r="C27" s="470" t="s">
        <v>257</v>
      </c>
      <c r="D27" s="301" t="s">
        <v>254</v>
      </c>
      <c r="E27" s="470" t="s">
        <v>999</v>
      </c>
      <c r="F27" s="471" t="s">
        <v>253</v>
      </c>
      <c r="G27" s="231" t="s">
        <v>1000</v>
      </c>
      <c r="H27" s="231" t="s">
        <v>1001</v>
      </c>
      <c r="I27" s="234">
        <v>45310</v>
      </c>
      <c r="J27" s="257">
        <v>45348</v>
      </c>
      <c r="K27" s="257">
        <v>45348</v>
      </c>
      <c r="L27" s="249">
        <v>45387</v>
      </c>
      <c r="M27" s="251">
        <v>45457</v>
      </c>
      <c r="N27" s="253" t="s">
        <v>57</v>
      </c>
      <c r="O27" s="231" t="s">
        <v>1002</v>
      </c>
      <c r="P27" s="253" t="s">
        <v>57</v>
      </c>
      <c r="Q27" s="255" t="s">
        <v>1003</v>
      </c>
    </row>
    <row r="28" spans="1:17" ht="13.8">
      <c r="A28" s="185"/>
      <c r="B28" s="467"/>
      <c r="C28" s="467"/>
      <c r="D28" s="302"/>
      <c r="E28" s="467"/>
      <c r="F28" s="464"/>
      <c r="G28" s="231" t="s">
        <v>1004</v>
      </c>
      <c r="H28" s="231" t="s">
        <v>1005</v>
      </c>
      <c r="I28" s="234">
        <v>45357</v>
      </c>
      <c r="J28" s="257">
        <v>45362</v>
      </c>
      <c r="K28" s="257">
        <v>45362</v>
      </c>
      <c r="L28" s="264"/>
      <c r="M28" s="236"/>
      <c r="N28" s="237"/>
      <c r="O28" s="237"/>
      <c r="P28" s="237"/>
      <c r="Q28" s="265" t="s">
        <v>1006</v>
      </c>
    </row>
    <row r="29" spans="1:17" ht="27.6">
      <c r="A29" s="463">
        <v>2</v>
      </c>
      <c r="B29" s="466" t="s">
        <v>1007</v>
      </c>
      <c r="C29" s="239" t="s">
        <v>99</v>
      </c>
      <c r="D29" s="303"/>
      <c r="E29" s="255" t="s">
        <v>1008</v>
      </c>
      <c r="F29" s="466" t="s">
        <v>101</v>
      </c>
      <c r="G29" s="231" t="s">
        <v>1009</v>
      </c>
      <c r="H29" s="231" t="s">
        <v>1010</v>
      </c>
      <c r="I29" s="234">
        <v>44873</v>
      </c>
      <c r="J29" s="234">
        <v>44897</v>
      </c>
      <c r="K29" s="257">
        <v>44908</v>
      </c>
      <c r="L29" s="249">
        <v>44915</v>
      </c>
      <c r="M29" s="236"/>
      <c r="N29" s="237"/>
      <c r="O29" s="237"/>
      <c r="P29" s="237"/>
      <c r="Q29" s="108"/>
    </row>
    <row r="30" spans="1:17" ht="27.6">
      <c r="A30" s="472"/>
      <c r="B30" s="473"/>
      <c r="C30" s="239" t="s">
        <v>99</v>
      </c>
      <c r="D30" s="304" t="s">
        <v>102</v>
      </c>
      <c r="E30" s="255" t="s">
        <v>1008</v>
      </c>
      <c r="F30" s="473"/>
      <c r="G30" s="225" t="s">
        <v>1009</v>
      </c>
      <c r="H30" s="225" t="s">
        <v>1010</v>
      </c>
      <c r="I30" s="234">
        <v>45310</v>
      </c>
      <c r="J30" s="244"/>
      <c r="K30" s="267">
        <v>45203</v>
      </c>
      <c r="L30" s="268">
        <v>45215</v>
      </c>
      <c r="M30" s="305">
        <v>45341</v>
      </c>
      <c r="N30" s="108"/>
      <c r="O30" s="225" t="s">
        <v>1011</v>
      </c>
      <c r="P30" s="306" t="s">
        <v>57</v>
      </c>
      <c r="Q30" s="265" t="s">
        <v>1012</v>
      </c>
    </row>
    <row r="31" spans="1:17" ht="27.6">
      <c r="A31" s="464"/>
      <c r="B31" s="467"/>
      <c r="C31" s="307" t="s">
        <v>1013</v>
      </c>
      <c r="D31" s="304" t="s">
        <v>1014</v>
      </c>
      <c r="E31" s="308" t="s">
        <v>1015</v>
      </c>
      <c r="F31" s="467"/>
      <c r="G31" s="225" t="s">
        <v>1016</v>
      </c>
      <c r="H31" s="225" t="s">
        <v>1017</v>
      </c>
      <c r="I31" s="234">
        <v>45310</v>
      </c>
      <c r="J31" s="267">
        <v>45246</v>
      </c>
      <c r="K31" s="225" t="s">
        <v>1018</v>
      </c>
      <c r="L31" s="268">
        <v>45271</v>
      </c>
      <c r="M31" s="305">
        <v>45334</v>
      </c>
      <c r="N31" s="108"/>
      <c r="O31" s="225" t="s">
        <v>1019</v>
      </c>
      <c r="P31" s="224" t="s">
        <v>57</v>
      </c>
      <c r="Q31" s="265" t="s">
        <v>1020</v>
      </c>
    </row>
    <row r="32" spans="1:17" ht="41.4">
      <c r="A32" s="230">
        <v>3</v>
      </c>
      <c r="B32" s="265" t="s">
        <v>79</v>
      </c>
      <c r="C32" s="309" t="s">
        <v>80</v>
      </c>
      <c r="D32" s="310" t="s">
        <v>83</v>
      </c>
      <c r="E32" s="308" t="s">
        <v>1021</v>
      </c>
      <c r="F32" s="265" t="s">
        <v>82</v>
      </c>
      <c r="G32" s="280"/>
      <c r="H32" s="108"/>
      <c r="I32" s="234">
        <v>45310</v>
      </c>
      <c r="J32" s="108"/>
      <c r="K32" s="108"/>
      <c r="L32" s="268">
        <v>45245</v>
      </c>
      <c r="M32" s="268">
        <v>45308</v>
      </c>
      <c r="N32" s="108"/>
      <c r="O32" s="225" t="s">
        <v>1022</v>
      </c>
      <c r="P32" s="224" t="s">
        <v>57</v>
      </c>
      <c r="Q32" s="265" t="s">
        <v>1023</v>
      </c>
    </row>
    <row r="33" spans="1:17" ht="13.8">
      <c r="A33" s="463">
        <v>4</v>
      </c>
      <c r="B33" s="465" t="s">
        <v>1024</v>
      </c>
      <c r="C33" s="311" t="s">
        <v>1025</v>
      </c>
      <c r="D33" s="310" t="s">
        <v>1026</v>
      </c>
      <c r="E33" s="255" t="s">
        <v>1027</v>
      </c>
      <c r="F33" s="466" t="s">
        <v>128</v>
      </c>
      <c r="G33" s="108"/>
      <c r="H33" s="108"/>
      <c r="I33" s="234">
        <v>45310</v>
      </c>
      <c r="J33" s="244"/>
      <c r="K33" s="108"/>
      <c r="L33" s="312"/>
      <c r="M33" s="312"/>
      <c r="N33" s="108"/>
      <c r="O33" s="108"/>
      <c r="P33" s="108"/>
      <c r="Q33" s="468" t="s">
        <v>1028</v>
      </c>
    </row>
    <row r="34" spans="1:17" ht="27.6">
      <c r="A34" s="464"/>
      <c r="B34" s="464"/>
      <c r="C34" s="311" t="s">
        <v>126</v>
      </c>
      <c r="D34" s="310" t="s">
        <v>129</v>
      </c>
      <c r="E34" s="255" t="s">
        <v>1029</v>
      </c>
      <c r="F34" s="467"/>
      <c r="G34" s="240" t="s">
        <v>1030</v>
      </c>
      <c r="H34" s="225" t="s">
        <v>1031</v>
      </c>
      <c r="I34" s="224" t="s">
        <v>926</v>
      </c>
      <c r="J34" s="224" t="s">
        <v>926</v>
      </c>
      <c r="K34" s="228">
        <v>44873</v>
      </c>
      <c r="L34" s="305">
        <v>44874</v>
      </c>
      <c r="M34" s="269"/>
      <c r="N34" s="108"/>
      <c r="O34" s="108"/>
      <c r="P34" s="108"/>
      <c r="Q34" s="464"/>
    </row>
    <row r="35" spans="1:17" ht="13.8">
      <c r="A35" s="463">
        <v>5</v>
      </c>
      <c r="B35" s="469" t="s">
        <v>184</v>
      </c>
      <c r="C35" s="311" t="s">
        <v>185</v>
      </c>
      <c r="D35" s="301" t="s">
        <v>188</v>
      </c>
      <c r="E35" s="255" t="s">
        <v>1032</v>
      </c>
      <c r="F35" s="465" t="s">
        <v>187</v>
      </c>
      <c r="G35" s="233" t="s">
        <v>1033</v>
      </c>
      <c r="H35" s="231" t="s">
        <v>1034</v>
      </c>
      <c r="I35" s="234">
        <v>45310</v>
      </c>
      <c r="J35" s="234">
        <v>45349</v>
      </c>
      <c r="K35" s="234">
        <v>45364</v>
      </c>
      <c r="L35" s="249">
        <v>45371</v>
      </c>
      <c r="M35" s="249">
        <v>45436</v>
      </c>
      <c r="N35" s="237"/>
      <c r="O35" s="231" t="s">
        <v>1035</v>
      </c>
      <c r="P35" s="224" t="s">
        <v>57</v>
      </c>
      <c r="Q35" s="466" t="s">
        <v>1036</v>
      </c>
    </row>
    <row r="36" spans="1:17" ht="13.8">
      <c r="A36" s="464"/>
      <c r="B36" s="464"/>
      <c r="C36" s="311" t="s">
        <v>1037</v>
      </c>
      <c r="D36" s="310" t="s">
        <v>1038</v>
      </c>
      <c r="E36" s="313" t="s">
        <v>1039</v>
      </c>
      <c r="F36" s="464"/>
      <c r="G36" s="233" t="s">
        <v>1033</v>
      </c>
      <c r="H36" s="231" t="s">
        <v>1034</v>
      </c>
      <c r="I36" s="234">
        <v>45310</v>
      </c>
      <c r="J36" s="234">
        <v>45349</v>
      </c>
      <c r="K36" s="234">
        <v>45364</v>
      </c>
      <c r="L36" s="249">
        <v>45371</v>
      </c>
      <c r="M36" s="249">
        <v>45436</v>
      </c>
      <c r="N36" s="237"/>
      <c r="O36" s="231" t="s">
        <v>1035</v>
      </c>
      <c r="P36" s="224" t="s">
        <v>57</v>
      </c>
      <c r="Q36" s="467"/>
    </row>
    <row r="37" spans="1:17" ht="13.8">
      <c r="A37" s="230">
        <v>6</v>
      </c>
      <c r="B37" s="265" t="s">
        <v>1040</v>
      </c>
      <c r="C37" s="314" t="s">
        <v>366</v>
      </c>
      <c r="D37" s="301" t="s">
        <v>369</v>
      </c>
      <c r="E37" s="308" t="s">
        <v>1041</v>
      </c>
      <c r="F37" s="315" t="s">
        <v>368</v>
      </c>
      <c r="G37" s="233" t="s">
        <v>1042</v>
      </c>
      <c r="H37" s="231" t="s">
        <v>1043</v>
      </c>
      <c r="I37" s="234">
        <v>45352</v>
      </c>
      <c r="J37" s="234">
        <v>45352</v>
      </c>
      <c r="K37" s="234">
        <v>45352</v>
      </c>
      <c r="L37" s="249">
        <v>45357</v>
      </c>
      <c r="M37" s="249">
        <v>45407</v>
      </c>
      <c r="N37" s="237"/>
      <c r="O37" s="231" t="s">
        <v>1044</v>
      </c>
      <c r="P37" s="224" t="s">
        <v>57</v>
      </c>
      <c r="Q37" s="255" t="s">
        <v>1045</v>
      </c>
    </row>
    <row r="38" spans="1:17" ht="13.8">
      <c r="A38" s="230">
        <v>7</v>
      </c>
      <c r="B38" s="265" t="s">
        <v>1046</v>
      </c>
      <c r="C38" s="308" t="s">
        <v>108</v>
      </c>
      <c r="D38" s="301" t="s">
        <v>111</v>
      </c>
      <c r="E38" s="308" t="s">
        <v>1047</v>
      </c>
      <c r="F38" s="255" t="s">
        <v>136</v>
      </c>
      <c r="G38" s="233" t="s">
        <v>1048</v>
      </c>
      <c r="H38" s="231" t="s">
        <v>1049</v>
      </c>
      <c r="I38" s="234">
        <v>45342</v>
      </c>
      <c r="J38" s="234">
        <v>45345</v>
      </c>
      <c r="K38" s="234">
        <v>45345</v>
      </c>
      <c r="L38" s="249">
        <v>45372</v>
      </c>
      <c r="M38" s="249">
        <v>45428</v>
      </c>
      <c r="N38" s="253" t="s">
        <v>57</v>
      </c>
      <c r="O38" s="231" t="s">
        <v>1050</v>
      </c>
      <c r="P38" s="253" t="s">
        <v>57</v>
      </c>
      <c r="Q38" s="255" t="s">
        <v>1051</v>
      </c>
    </row>
    <row r="39" spans="1:17" ht="13.8">
      <c r="A39" s="316">
        <v>8</v>
      </c>
      <c r="B39" s="265" t="s">
        <v>176</v>
      </c>
      <c r="C39" s="308" t="s">
        <v>47</v>
      </c>
      <c r="D39" s="311" t="s">
        <v>1052</v>
      </c>
      <c r="E39" s="308" t="s">
        <v>177</v>
      </c>
      <c r="F39" s="255" t="s">
        <v>177</v>
      </c>
      <c r="G39" s="245"/>
      <c r="H39" s="245"/>
      <c r="I39" s="317"/>
      <c r="J39" s="245"/>
      <c r="K39" s="245"/>
      <c r="L39" s="264"/>
      <c r="M39" s="264"/>
      <c r="N39" s="245"/>
      <c r="O39" s="245"/>
      <c r="P39" s="224" t="s">
        <v>57</v>
      </c>
      <c r="Q39" s="245"/>
    </row>
    <row r="40" spans="1:17" ht="110.4">
      <c r="A40" s="316">
        <v>9</v>
      </c>
      <c r="B40" s="265" t="s">
        <v>259</v>
      </c>
      <c r="C40" s="308" t="s">
        <v>147</v>
      </c>
      <c r="D40" s="318" t="s">
        <v>150</v>
      </c>
      <c r="E40" s="308" t="s">
        <v>149</v>
      </c>
      <c r="F40" s="255" t="s">
        <v>149</v>
      </c>
      <c r="G40" s="231" t="s">
        <v>1053</v>
      </c>
      <c r="H40" s="233" t="s">
        <v>1054</v>
      </c>
      <c r="I40" s="234">
        <v>45342</v>
      </c>
      <c r="J40" s="319">
        <v>45341</v>
      </c>
      <c r="K40" s="319">
        <v>45341</v>
      </c>
      <c r="L40" s="249">
        <v>45341</v>
      </c>
      <c r="M40" s="249">
        <v>45362</v>
      </c>
      <c r="N40" s="320">
        <v>45358</v>
      </c>
      <c r="O40" s="233" t="s">
        <v>1055</v>
      </c>
      <c r="P40" s="224" t="s">
        <v>57</v>
      </c>
      <c r="Q40" s="239" t="s">
        <v>1056</v>
      </c>
    </row>
    <row r="41" spans="1:17" ht="13.8">
      <c r="A41" s="230">
        <v>10</v>
      </c>
      <c r="B41" s="321" t="s">
        <v>227</v>
      </c>
      <c r="C41" s="322" t="s">
        <v>1057</v>
      </c>
      <c r="D41" s="323" t="s">
        <v>1058</v>
      </c>
      <c r="E41" s="321" t="s">
        <v>1059</v>
      </c>
      <c r="F41" s="321" t="s">
        <v>1059</v>
      </c>
      <c r="G41" s="233" t="s">
        <v>1060</v>
      </c>
      <c r="H41" s="237"/>
      <c r="I41" s="324"/>
      <c r="J41" s="237"/>
      <c r="K41" s="237"/>
      <c r="L41" s="264"/>
      <c r="M41" s="264"/>
      <c r="N41" s="237"/>
      <c r="O41" s="237"/>
      <c r="P41" s="237"/>
      <c r="Q41" s="325" t="s">
        <v>1061</v>
      </c>
    </row>
  </sheetData>
  <mergeCells count="15">
    <mergeCell ref="B27:B28"/>
    <mergeCell ref="C27:C28"/>
    <mergeCell ref="E27:E28"/>
    <mergeCell ref="F27:F28"/>
    <mergeCell ref="A29:A31"/>
    <mergeCell ref="B29:B31"/>
    <mergeCell ref="F29:F31"/>
    <mergeCell ref="A33:A34"/>
    <mergeCell ref="B33:B34"/>
    <mergeCell ref="F33:F34"/>
    <mergeCell ref="Q33:Q34"/>
    <mergeCell ref="A35:A36"/>
    <mergeCell ref="B35:B36"/>
    <mergeCell ref="F35:F36"/>
    <mergeCell ref="Q35:Q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328"/>
  <sheetViews>
    <sheetView workbookViewId="0"/>
  </sheetViews>
  <sheetFormatPr defaultColWidth="12.6640625" defaultRowHeight="15.75" customHeight="1"/>
  <cols>
    <col min="1" max="1" width="15.6640625" customWidth="1"/>
    <col min="2" max="3" width="21.33203125" customWidth="1"/>
    <col min="4" max="4" width="29.109375" customWidth="1"/>
    <col min="6" max="6" width="13.88671875" customWidth="1"/>
    <col min="8" max="8" width="15" customWidth="1"/>
  </cols>
  <sheetData>
    <row r="1" spans="1:8" ht="13.2">
      <c r="A1" s="84"/>
      <c r="B1" s="84"/>
      <c r="C1" s="84"/>
      <c r="D1" s="84"/>
      <c r="E1" s="84"/>
      <c r="F1" s="84"/>
      <c r="G1" s="84"/>
      <c r="H1" s="84"/>
    </row>
    <row r="2" spans="1:8" ht="15.75" customHeight="1">
      <c r="A2" s="84"/>
      <c r="B2" s="326"/>
      <c r="C2" s="327"/>
      <c r="D2" s="327"/>
      <c r="E2" s="84"/>
      <c r="F2" s="84"/>
      <c r="G2" s="84"/>
      <c r="H2" s="328"/>
    </row>
    <row r="3" spans="1:8" ht="13.2">
      <c r="A3" s="84"/>
      <c r="B3" s="84"/>
      <c r="C3" s="84"/>
      <c r="D3" s="84"/>
      <c r="E3" s="84"/>
      <c r="F3" s="84"/>
      <c r="G3" s="329"/>
      <c r="H3" s="84"/>
    </row>
    <row r="4" spans="1:8" ht="13.8">
      <c r="A4" s="330" t="s">
        <v>0</v>
      </c>
      <c r="B4" s="330" t="s">
        <v>1062</v>
      </c>
      <c r="C4" s="330" t="s">
        <v>1063</v>
      </c>
      <c r="D4" s="330" t="s">
        <v>1064</v>
      </c>
      <c r="E4" s="330" t="s">
        <v>1065</v>
      </c>
      <c r="F4" s="330" t="s">
        <v>1066</v>
      </c>
      <c r="G4" s="330" t="s">
        <v>1067</v>
      </c>
      <c r="H4" s="330" t="s">
        <v>1068</v>
      </c>
    </row>
    <row r="5" spans="1:8" ht="13.2">
      <c r="A5" s="107" t="s">
        <v>168</v>
      </c>
      <c r="B5" s="331" t="s">
        <v>1069</v>
      </c>
      <c r="C5" s="331" t="s">
        <v>1070</v>
      </c>
      <c r="D5" s="331" t="s">
        <v>1071</v>
      </c>
      <c r="E5" s="195" t="s">
        <v>1072</v>
      </c>
      <c r="F5" s="195" t="s">
        <v>1073</v>
      </c>
      <c r="G5" s="107"/>
      <c r="H5" s="107"/>
    </row>
    <row r="6" spans="1:8" ht="13.2">
      <c r="A6" s="107" t="s">
        <v>168</v>
      </c>
      <c r="B6" s="331" t="s">
        <v>1069</v>
      </c>
      <c r="C6" s="331" t="s">
        <v>1074</v>
      </c>
      <c r="D6" s="331" t="s">
        <v>1075</v>
      </c>
      <c r="E6" s="195" t="s">
        <v>1076</v>
      </c>
      <c r="F6" s="195" t="s">
        <v>1077</v>
      </c>
      <c r="G6" s="107"/>
      <c r="H6" s="107"/>
    </row>
    <row r="7" spans="1:8" ht="13.2">
      <c r="A7" s="107" t="s">
        <v>168</v>
      </c>
      <c r="B7" s="331" t="s">
        <v>1069</v>
      </c>
      <c r="C7" s="331" t="s">
        <v>1078</v>
      </c>
      <c r="D7" s="331"/>
      <c r="E7" s="195"/>
      <c r="F7" s="195"/>
      <c r="G7" s="107"/>
      <c r="H7" s="107"/>
    </row>
    <row r="8" spans="1:8" ht="13.2">
      <c r="A8" s="107" t="s">
        <v>168</v>
      </c>
      <c r="B8" s="331" t="s">
        <v>1069</v>
      </c>
      <c r="C8" s="331" t="s">
        <v>1079</v>
      </c>
      <c r="D8" s="331"/>
      <c r="E8" s="195"/>
      <c r="F8" s="195"/>
      <c r="G8" s="107"/>
      <c r="H8" s="107"/>
    </row>
    <row r="9" spans="1:8" ht="13.2">
      <c r="A9" s="107" t="s">
        <v>168</v>
      </c>
      <c r="B9" s="331" t="s">
        <v>1069</v>
      </c>
      <c r="C9" s="331" t="s">
        <v>1080</v>
      </c>
      <c r="D9" s="331"/>
      <c r="E9" s="195"/>
      <c r="F9" s="195"/>
      <c r="G9" s="107"/>
      <c r="H9" s="107"/>
    </row>
    <row r="10" spans="1:8" ht="13.2">
      <c r="A10" s="107" t="s">
        <v>168</v>
      </c>
      <c r="B10" s="331" t="s">
        <v>1069</v>
      </c>
      <c r="C10" s="331" t="s">
        <v>1081</v>
      </c>
      <c r="D10" s="331" t="s">
        <v>1082</v>
      </c>
      <c r="E10" s="195" t="s">
        <v>1083</v>
      </c>
      <c r="F10" s="195" t="s">
        <v>1077</v>
      </c>
      <c r="G10" s="107"/>
      <c r="H10" s="107"/>
    </row>
    <row r="11" spans="1:8" ht="13.2">
      <c r="A11" s="107" t="s">
        <v>168</v>
      </c>
      <c r="B11" s="331" t="s">
        <v>1069</v>
      </c>
      <c r="C11" s="331" t="s">
        <v>1084</v>
      </c>
      <c r="D11" s="331" t="s">
        <v>1085</v>
      </c>
      <c r="E11" s="195" t="s">
        <v>1086</v>
      </c>
      <c r="F11" s="195" t="s">
        <v>153</v>
      </c>
      <c r="G11" s="107" t="s">
        <v>1087</v>
      </c>
      <c r="H11" s="107">
        <v>77</v>
      </c>
    </row>
    <row r="12" spans="1:8" ht="13.2">
      <c r="A12" s="107" t="s">
        <v>168</v>
      </c>
      <c r="B12" s="331" t="s">
        <v>1088</v>
      </c>
      <c r="C12" s="331" t="s">
        <v>1089</v>
      </c>
      <c r="D12" s="331" t="s">
        <v>1090</v>
      </c>
      <c r="E12" s="195" t="s">
        <v>1091</v>
      </c>
      <c r="F12" s="195" t="s">
        <v>1073</v>
      </c>
      <c r="G12" s="107"/>
      <c r="H12" s="107"/>
    </row>
    <row r="13" spans="1:8" ht="13.2">
      <c r="A13" s="107" t="s">
        <v>168</v>
      </c>
      <c r="B13" s="331" t="s">
        <v>1069</v>
      </c>
      <c r="C13" s="331" t="s">
        <v>1092</v>
      </c>
      <c r="D13" s="331" t="s">
        <v>1093</v>
      </c>
      <c r="E13" s="195" t="s">
        <v>1094</v>
      </c>
      <c r="F13" s="195" t="s">
        <v>1095</v>
      </c>
      <c r="G13" s="107"/>
      <c r="H13" s="107"/>
    </row>
    <row r="14" spans="1:8" ht="13.2">
      <c r="A14" s="107" t="s">
        <v>168</v>
      </c>
      <c r="B14" s="331" t="s">
        <v>1069</v>
      </c>
      <c r="C14" s="331" t="s">
        <v>1096</v>
      </c>
      <c r="D14" s="331" t="s">
        <v>1097</v>
      </c>
      <c r="E14" s="195" t="s">
        <v>1098</v>
      </c>
      <c r="F14" s="195" t="s">
        <v>1095</v>
      </c>
      <c r="G14" s="107"/>
      <c r="H14" s="107"/>
    </row>
    <row r="15" spans="1:8" ht="13.2">
      <c r="A15" s="107" t="s">
        <v>168</v>
      </c>
      <c r="B15" s="331" t="s">
        <v>1069</v>
      </c>
      <c r="C15" s="331" t="s">
        <v>1099</v>
      </c>
      <c r="D15" s="331" t="s">
        <v>1100</v>
      </c>
      <c r="E15" s="195" t="s">
        <v>1101</v>
      </c>
      <c r="F15" s="195" t="s">
        <v>55</v>
      </c>
      <c r="G15" s="107"/>
      <c r="H15" s="107"/>
    </row>
    <row r="16" spans="1:8" ht="13.2">
      <c r="A16" s="107" t="s">
        <v>168</v>
      </c>
      <c r="B16" s="331" t="s">
        <v>1069</v>
      </c>
      <c r="C16" s="331" t="s">
        <v>1102</v>
      </c>
      <c r="D16" s="331" t="s">
        <v>1103</v>
      </c>
      <c r="E16" s="195" t="s">
        <v>1104</v>
      </c>
      <c r="F16" s="195" t="s">
        <v>1077</v>
      </c>
      <c r="G16" s="107"/>
      <c r="H16" s="107"/>
    </row>
    <row r="17" spans="1:8" ht="13.2">
      <c r="A17" s="107" t="s">
        <v>168</v>
      </c>
      <c r="B17" s="331" t="s">
        <v>1069</v>
      </c>
      <c r="C17" s="331" t="s">
        <v>1105</v>
      </c>
      <c r="D17" s="331" t="s">
        <v>1106</v>
      </c>
      <c r="E17" s="195" t="s">
        <v>1107</v>
      </c>
      <c r="F17" s="195" t="s">
        <v>167</v>
      </c>
      <c r="G17" s="107"/>
      <c r="H17" s="107"/>
    </row>
    <row r="18" spans="1:8" ht="13.2">
      <c r="A18" s="107" t="s">
        <v>168</v>
      </c>
      <c r="B18" s="331" t="s">
        <v>1069</v>
      </c>
      <c r="C18" s="331" t="s">
        <v>169</v>
      </c>
      <c r="D18" s="331" t="s">
        <v>1108</v>
      </c>
      <c r="E18" s="195" t="s">
        <v>1109</v>
      </c>
      <c r="F18" s="195" t="s">
        <v>1110</v>
      </c>
      <c r="G18" s="107"/>
      <c r="H18" s="107"/>
    </row>
    <row r="19" spans="1:8" ht="13.2">
      <c r="A19" s="107" t="s">
        <v>168</v>
      </c>
      <c r="B19" s="331" t="s">
        <v>1069</v>
      </c>
      <c r="C19" s="331" t="s">
        <v>1111</v>
      </c>
      <c r="D19" s="331" t="s">
        <v>1112</v>
      </c>
      <c r="E19" s="195" t="s">
        <v>1113</v>
      </c>
      <c r="F19" s="195" t="s">
        <v>1114</v>
      </c>
      <c r="G19" s="107"/>
      <c r="H19" s="107"/>
    </row>
    <row r="20" spans="1:8" ht="13.2">
      <c r="A20" s="107" t="s">
        <v>168</v>
      </c>
      <c r="B20" s="331" t="s">
        <v>1069</v>
      </c>
      <c r="C20" s="331" t="s">
        <v>1115</v>
      </c>
      <c r="D20" s="331" t="s">
        <v>1116</v>
      </c>
      <c r="E20" s="195" t="s">
        <v>1117</v>
      </c>
      <c r="F20" s="195" t="s">
        <v>1073</v>
      </c>
      <c r="G20" s="107"/>
      <c r="H20" s="107"/>
    </row>
    <row r="21" spans="1:8" ht="13.2">
      <c r="A21" s="332" t="s">
        <v>168</v>
      </c>
      <c r="B21" s="333" t="s">
        <v>1069</v>
      </c>
      <c r="C21" s="333" t="s">
        <v>1118</v>
      </c>
      <c r="D21" s="333" t="s">
        <v>1119</v>
      </c>
      <c r="E21" s="334" t="s">
        <v>1120</v>
      </c>
      <c r="F21" s="332" t="s">
        <v>1121</v>
      </c>
      <c r="G21" s="332"/>
      <c r="H21" s="332"/>
    </row>
    <row r="22" spans="1:8" ht="13.2">
      <c r="A22" s="186" t="s">
        <v>227</v>
      </c>
      <c r="B22" s="331" t="s">
        <v>1069</v>
      </c>
      <c r="C22" s="195" t="s">
        <v>1122</v>
      </c>
      <c r="D22" s="195" t="s">
        <v>1123</v>
      </c>
      <c r="E22" s="195" t="s">
        <v>1124</v>
      </c>
      <c r="F22" s="195" t="s">
        <v>1114</v>
      </c>
      <c r="G22" s="186"/>
      <c r="H22" s="186"/>
    </row>
    <row r="23" spans="1:8" ht="13.2">
      <c r="A23" s="107" t="s">
        <v>227</v>
      </c>
      <c r="B23" s="331" t="s">
        <v>1069</v>
      </c>
      <c r="C23" s="195" t="s">
        <v>1125</v>
      </c>
      <c r="D23" s="195" t="s">
        <v>1126</v>
      </c>
      <c r="E23" s="195" t="s">
        <v>1127</v>
      </c>
      <c r="F23" s="195" t="s">
        <v>55</v>
      </c>
      <c r="G23" s="107"/>
      <c r="H23" s="107"/>
    </row>
    <row r="24" spans="1:8" ht="13.2">
      <c r="A24" s="107" t="s">
        <v>227</v>
      </c>
      <c r="B24" s="331" t="s">
        <v>1069</v>
      </c>
      <c r="C24" s="195" t="s">
        <v>1128</v>
      </c>
      <c r="D24" s="195" t="s">
        <v>1129</v>
      </c>
      <c r="E24" s="195" t="s">
        <v>1130</v>
      </c>
      <c r="F24" s="195" t="s">
        <v>55</v>
      </c>
      <c r="G24" s="107"/>
      <c r="H24" s="107"/>
    </row>
    <row r="25" spans="1:8" ht="13.2">
      <c r="A25" s="107" t="s">
        <v>227</v>
      </c>
      <c r="B25" s="331" t="s">
        <v>1069</v>
      </c>
      <c r="C25" s="331" t="s">
        <v>1131</v>
      </c>
      <c r="D25" s="195" t="s">
        <v>1132</v>
      </c>
      <c r="E25" s="195" t="s">
        <v>1133</v>
      </c>
      <c r="F25" s="195"/>
      <c r="G25" s="107"/>
      <c r="H25" s="107"/>
    </row>
    <row r="26" spans="1:8" ht="13.2">
      <c r="A26" s="107" t="s">
        <v>227</v>
      </c>
      <c r="B26" s="331" t="s">
        <v>1069</v>
      </c>
      <c r="C26" s="195" t="s">
        <v>1134</v>
      </c>
      <c r="D26" s="195" t="s">
        <v>1135</v>
      </c>
      <c r="E26" s="195" t="s">
        <v>1136</v>
      </c>
      <c r="F26" s="195" t="s">
        <v>1137</v>
      </c>
      <c r="G26" s="107"/>
      <c r="H26" s="107"/>
    </row>
    <row r="27" spans="1:8" ht="13.2">
      <c r="A27" s="107" t="s">
        <v>227</v>
      </c>
      <c r="B27" s="331" t="s">
        <v>1069</v>
      </c>
      <c r="C27" s="195" t="s">
        <v>1138</v>
      </c>
      <c r="D27" s="195" t="s">
        <v>1139</v>
      </c>
      <c r="E27" s="195" t="s">
        <v>1140</v>
      </c>
      <c r="F27" s="195" t="s">
        <v>55</v>
      </c>
      <c r="G27" s="107"/>
      <c r="H27" s="107"/>
    </row>
    <row r="28" spans="1:8" ht="13.2">
      <c r="A28" s="107" t="s">
        <v>227</v>
      </c>
      <c r="B28" s="331" t="s">
        <v>1069</v>
      </c>
      <c r="C28" s="331" t="s">
        <v>1141</v>
      </c>
      <c r="D28" s="195" t="s">
        <v>1142</v>
      </c>
      <c r="E28" s="195" t="s">
        <v>1143</v>
      </c>
      <c r="F28" s="195" t="s">
        <v>1137</v>
      </c>
      <c r="G28" s="107"/>
      <c r="H28" s="107"/>
    </row>
    <row r="29" spans="1:8" ht="13.2">
      <c r="A29" s="107" t="s">
        <v>227</v>
      </c>
      <c r="B29" s="331" t="s">
        <v>1069</v>
      </c>
      <c r="C29" s="195" t="s">
        <v>1144</v>
      </c>
      <c r="D29" s="195" t="s">
        <v>1145</v>
      </c>
      <c r="E29" s="195" t="s">
        <v>1146</v>
      </c>
      <c r="F29" s="195" t="s">
        <v>1147</v>
      </c>
      <c r="G29" s="107"/>
      <c r="H29" s="107"/>
    </row>
    <row r="30" spans="1:8" ht="13.2">
      <c r="A30" s="107" t="s">
        <v>227</v>
      </c>
      <c r="B30" s="331" t="s">
        <v>1069</v>
      </c>
      <c r="C30" s="195" t="s">
        <v>228</v>
      </c>
      <c r="D30" s="195" t="s">
        <v>231</v>
      </c>
      <c r="E30" s="195" t="s">
        <v>1148</v>
      </c>
      <c r="F30" s="195"/>
      <c r="G30" s="107"/>
      <c r="H30" s="107"/>
    </row>
    <row r="31" spans="1:8" ht="13.2">
      <c r="A31" s="107" t="s">
        <v>227</v>
      </c>
      <c r="B31" s="331" t="s">
        <v>1069</v>
      </c>
      <c r="C31" s="331" t="s">
        <v>1149</v>
      </c>
      <c r="D31" s="195" t="s">
        <v>1150</v>
      </c>
      <c r="E31" s="195" t="s">
        <v>1151</v>
      </c>
      <c r="F31" s="195" t="s">
        <v>1110</v>
      </c>
      <c r="G31" s="107"/>
      <c r="H31" s="107"/>
    </row>
    <row r="32" spans="1:8" ht="13.2">
      <c r="A32" s="107" t="s">
        <v>227</v>
      </c>
      <c r="B32" s="331" t="s">
        <v>1069</v>
      </c>
      <c r="C32" s="195" t="s">
        <v>1152</v>
      </c>
      <c r="D32" s="195" t="s">
        <v>1153</v>
      </c>
      <c r="E32" s="195" t="s">
        <v>1154</v>
      </c>
      <c r="F32" s="195"/>
      <c r="G32" s="107"/>
      <c r="H32" s="107"/>
    </row>
    <row r="33" spans="1:8" ht="13.2">
      <c r="A33" s="107" t="s">
        <v>227</v>
      </c>
      <c r="B33" s="331" t="s">
        <v>1069</v>
      </c>
      <c r="C33" s="195" t="s">
        <v>1155</v>
      </c>
      <c r="D33" s="195" t="s">
        <v>1156</v>
      </c>
      <c r="E33" s="195" t="s">
        <v>1157</v>
      </c>
      <c r="F33" s="195" t="s">
        <v>55</v>
      </c>
      <c r="G33" s="107"/>
      <c r="H33" s="107"/>
    </row>
    <row r="34" spans="1:8" ht="13.2">
      <c r="A34" s="107" t="s">
        <v>227</v>
      </c>
      <c r="B34" s="331" t="s">
        <v>1069</v>
      </c>
      <c r="C34" s="195" t="s">
        <v>1158</v>
      </c>
      <c r="D34" s="195" t="s">
        <v>1159</v>
      </c>
      <c r="E34" s="195" t="s">
        <v>1160</v>
      </c>
      <c r="F34" s="195" t="s">
        <v>167</v>
      </c>
      <c r="G34" s="107"/>
      <c r="H34" s="107"/>
    </row>
    <row r="35" spans="1:8" ht="13.2">
      <c r="A35" s="107" t="s">
        <v>227</v>
      </c>
      <c r="B35" s="331" t="s">
        <v>1069</v>
      </c>
      <c r="C35" s="331" t="s">
        <v>1161</v>
      </c>
      <c r="D35" s="195" t="s">
        <v>1162</v>
      </c>
      <c r="E35" s="195" t="s">
        <v>1163</v>
      </c>
      <c r="F35" s="195" t="s">
        <v>1073</v>
      </c>
      <c r="G35" s="107"/>
      <c r="H35" s="107"/>
    </row>
    <row r="36" spans="1:8" ht="13.2">
      <c r="A36" s="107" t="s">
        <v>227</v>
      </c>
      <c r="B36" s="331" t="s">
        <v>1069</v>
      </c>
      <c r="C36" s="331" t="s">
        <v>1164</v>
      </c>
      <c r="D36" s="195" t="s">
        <v>1165</v>
      </c>
      <c r="E36" s="195" t="s">
        <v>1166</v>
      </c>
      <c r="F36" s="107"/>
      <c r="G36" s="107"/>
      <c r="H36" s="107"/>
    </row>
    <row r="37" spans="1:8" ht="13.2">
      <c r="A37" s="107" t="s">
        <v>227</v>
      </c>
      <c r="B37" s="331" t="s">
        <v>1069</v>
      </c>
      <c r="C37" s="195" t="s">
        <v>1167</v>
      </c>
      <c r="D37" s="195" t="s">
        <v>1168</v>
      </c>
      <c r="E37" s="195" t="s">
        <v>1169</v>
      </c>
      <c r="F37" s="107" t="s">
        <v>1121</v>
      </c>
      <c r="G37" s="107"/>
      <c r="H37" s="107"/>
    </row>
    <row r="38" spans="1:8" ht="13.2">
      <c r="A38" s="107" t="s">
        <v>227</v>
      </c>
      <c r="B38" s="331" t="s">
        <v>1069</v>
      </c>
      <c r="C38" s="331" t="s">
        <v>1170</v>
      </c>
      <c r="D38" s="195" t="s">
        <v>1171</v>
      </c>
      <c r="E38" s="195" t="s">
        <v>1172</v>
      </c>
      <c r="F38" s="107"/>
      <c r="G38" s="107"/>
      <c r="H38" s="107"/>
    </row>
    <row r="39" spans="1:8" ht="13.2">
      <c r="A39" s="107" t="s">
        <v>227</v>
      </c>
      <c r="B39" s="331" t="s">
        <v>1069</v>
      </c>
      <c r="C39" s="195" t="s">
        <v>1173</v>
      </c>
      <c r="D39" s="195" t="s">
        <v>1174</v>
      </c>
      <c r="E39" s="195" t="s">
        <v>1175</v>
      </c>
      <c r="F39" s="107" t="s">
        <v>1176</v>
      </c>
      <c r="G39" s="107"/>
      <c r="H39" s="107"/>
    </row>
    <row r="40" spans="1:8" ht="13.2">
      <c r="A40" s="107" t="s">
        <v>227</v>
      </c>
      <c r="B40" s="331" t="s">
        <v>1069</v>
      </c>
      <c r="C40" s="331" t="s">
        <v>1177</v>
      </c>
      <c r="D40" s="195" t="s">
        <v>1178</v>
      </c>
      <c r="E40" s="195" t="s">
        <v>1179</v>
      </c>
      <c r="F40" s="107" t="s">
        <v>1121</v>
      </c>
      <c r="G40" s="107"/>
      <c r="H40" s="107"/>
    </row>
    <row r="41" spans="1:8" ht="13.2">
      <c r="A41" s="107" t="s">
        <v>227</v>
      </c>
      <c r="B41" s="331" t="s">
        <v>1069</v>
      </c>
      <c r="C41" s="331" t="s">
        <v>1180</v>
      </c>
      <c r="D41" s="195" t="s">
        <v>1181</v>
      </c>
      <c r="E41" s="195" t="s">
        <v>1182</v>
      </c>
      <c r="F41" s="107" t="s">
        <v>1121</v>
      </c>
      <c r="G41" s="107"/>
      <c r="H41" s="107"/>
    </row>
    <row r="42" spans="1:8" ht="13.2">
      <c r="A42" s="107" t="s">
        <v>227</v>
      </c>
      <c r="B42" s="331" t="s">
        <v>1069</v>
      </c>
      <c r="C42" s="331" t="s">
        <v>1183</v>
      </c>
      <c r="D42" s="195" t="s">
        <v>1184</v>
      </c>
      <c r="E42" s="195" t="s">
        <v>1185</v>
      </c>
      <c r="F42" s="107" t="s">
        <v>1186</v>
      </c>
      <c r="G42" s="107"/>
      <c r="H42" s="107"/>
    </row>
    <row r="43" spans="1:8" ht="13.2">
      <c r="A43" s="107" t="s">
        <v>227</v>
      </c>
      <c r="B43" s="331" t="s">
        <v>1069</v>
      </c>
      <c r="C43" s="195" t="s">
        <v>1187</v>
      </c>
      <c r="D43" s="195" t="s">
        <v>1188</v>
      </c>
      <c r="E43" s="195" t="s">
        <v>1189</v>
      </c>
      <c r="F43" s="107" t="s">
        <v>1190</v>
      </c>
      <c r="G43" s="107"/>
      <c r="H43" s="107"/>
    </row>
    <row r="44" spans="1:8" ht="13.2">
      <c r="A44" s="107" t="s">
        <v>227</v>
      </c>
      <c r="B44" s="331" t="s">
        <v>1069</v>
      </c>
      <c r="C44" s="195" t="s">
        <v>1191</v>
      </c>
      <c r="D44" s="195" t="s">
        <v>1192</v>
      </c>
      <c r="E44" s="195" t="s">
        <v>1193</v>
      </c>
      <c r="F44" s="107" t="s">
        <v>1194</v>
      </c>
      <c r="G44" s="107"/>
      <c r="H44" s="107"/>
    </row>
    <row r="45" spans="1:8" ht="13.2">
      <c r="A45" s="107" t="s">
        <v>227</v>
      </c>
      <c r="B45" s="331" t="s">
        <v>1069</v>
      </c>
      <c r="C45" s="195" t="s">
        <v>1195</v>
      </c>
      <c r="D45" s="195" t="s">
        <v>1196</v>
      </c>
      <c r="E45" s="195" t="s">
        <v>1197</v>
      </c>
      <c r="F45" s="107" t="s">
        <v>1198</v>
      </c>
      <c r="G45" s="107"/>
      <c r="H45" s="107"/>
    </row>
    <row r="46" spans="1:8" ht="13.2">
      <c r="A46" s="332" t="s">
        <v>227</v>
      </c>
      <c r="B46" s="333" t="s">
        <v>1069</v>
      </c>
      <c r="C46" s="334" t="s">
        <v>1199</v>
      </c>
      <c r="D46" s="334" t="s">
        <v>756</v>
      </c>
      <c r="E46" s="334" t="s">
        <v>1200</v>
      </c>
      <c r="F46" s="332" t="s">
        <v>1110</v>
      </c>
      <c r="G46" s="332"/>
      <c r="H46" s="332"/>
    </row>
    <row r="47" spans="1:8" ht="13.2">
      <c r="A47" s="186" t="s">
        <v>241</v>
      </c>
      <c r="B47" s="331" t="s">
        <v>1069</v>
      </c>
      <c r="C47" s="186" t="s">
        <v>242</v>
      </c>
      <c r="D47" s="186" t="s">
        <v>1201</v>
      </c>
      <c r="E47" s="186" t="s">
        <v>1202</v>
      </c>
      <c r="F47" s="186" t="s">
        <v>1147</v>
      </c>
      <c r="G47" s="186" t="s">
        <v>1203</v>
      </c>
      <c r="H47" s="186"/>
    </row>
    <row r="48" spans="1:8" ht="13.2">
      <c r="A48" s="107" t="s">
        <v>241</v>
      </c>
      <c r="B48" s="331" t="s">
        <v>1069</v>
      </c>
      <c r="C48" s="109" t="s">
        <v>1204</v>
      </c>
      <c r="D48" s="107" t="s">
        <v>1205</v>
      </c>
      <c r="E48" s="107"/>
      <c r="F48" s="107" t="s">
        <v>1073</v>
      </c>
      <c r="G48" s="335">
        <v>45275</v>
      </c>
      <c r="H48" s="107">
        <v>74</v>
      </c>
    </row>
    <row r="49" spans="1:8" ht="13.2">
      <c r="A49" s="107" t="s">
        <v>241</v>
      </c>
      <c r="B49" s="331" t="s">
        <v>1069</v>
      </c>
      <c r="C49" s="107" t="s">
        <v>1206</v>
      </c>
      <c r="D49" s="107" t="s">
        <v>1207</v>
      </c>
      <c r="E49" s="107"/>
      <c r="F49" s="107" t="s">
        <v>1208</v>
      </c>
      <c r="G49" s="107"/>
      <c r="H49" s="107"/>
    </row>
    <row r="50" spans="1:8" ht="13.2">
      <c r="A50" s="194" t="s">
        <v>241</v>
      </c>
      <c r="B50" s="189" t="s">
        <v>1069</v>
      </c>
      <c r="C50" s="194" t="s">
        <v>1209</v>
      </c>
      <c r="D50" s="194" t="s">
        <v>1210</v>
      </c>
      <c r="E50" s="194"/>
      <c r="F50" s="194"/>
      <c r="G50" s="336">
        <v>45275</v>
      </c>
      <c r="H50" s="194">
        <v>52</v>
      </c>
    </row>
    <row r="51" spans="1:8" ht="13.2">
      <c r="A51" s="194" t="s">
        <v>241</v>
      </c>
      <c r="B51" s="109" t="s">
        <v>1088</v>
      </c>
      <c r="C51" s="337" t="s">
        <v>1211</v>
      </c>
      <c r="D51" s="338" t="s">
        <v>1212</v>
      </c>
      <c r="E51" s="107"/>
      <c r="F51" s="107"/>
      <c r="G51" s="138"/>
      <c r="H51" s="107"/>
    </row>
    <row r="52" spans="1:8" ht="13.2">
      <c r="A52" s="332" t="s">
        <v>241</v>
      </c>
      <c r="B52" s="339" t="s">
        <v>1088</v>
      </c>
      <c r="C52" s="340" t="s">
        <v>1213</v>
      </c>
      <c r="D52" s="341" t="s">
        <v>1214</v>
      </c>
      <c r="E52" s="332"/>
      <c r="F52" s="332"/>
      <c r="G52" s="342"/>
      <c r="H52" s="332"/>
    </row>
    <row r="53" spans="1:8" ht="13.2">
      <c r="A53" s="96" t="s">
        <v>218</v>
      </c>
      <c r="B53" s="331" t="s">
        <v>1069</v>
      </c>
      <c r="C53" s="343" t="s">
        <v>219</v>
      </c>
      <c r="D53" s="344" t="s">
        <v>220</v>
      </c>
      <c r="E53" s="96"/>
      <c r="F53" s="96" t="s">
        <v>180</v>
      </c>
      <c r="G53" s="345">
        <v>45246</v>
      </c>
      <c r="H53" s="96">
        <v>81</v>
      </c>
    </row>
    <row r="54" spans="1:8" ht="13.2">
      <c r="A54" s="109" t="s">
        <v>218</v>
      </c>
      <c r="B54" s="331" t="s">
        <v>1069</v>
      </c>
      <c r="C54" s="107" t="s">
        <v>1215</v>
      </c>
      <c r="D54" s="107" t="s">
        <v>1216</v>
      </c>
      <c r="E54" s="109"/>
      <c r="F54" s="109" t="s">
        <v>180</v>
      </c>
      <c r="G54" s="115">
        <v>45246</v>
      </c>
      <c r="H54" s="109">
        <v>84</v>
      </c>
    </row>
    <row r="55" spans="1:8" ht="13.2">
      <c r="A55" s="109" t="s">
        <v>218</v>
      </c>
      <c r="B55" s="109" t="s">
        <v>1088</v>
      </c>
      <c r="C55" s="337" t="s">
        <v>1217</v>
      </c>
      <c r="D55" s="161" t="s">
        <v>1218</v>
      </c>
      <c r="E55" s="109"/>
      <c r="F55" s="109"/>
      <c r="G55" s="115"/>
      <c r="H55" s="109"/>
    </row>
    <row r="56" spans="1:8" ht="13.2">
      <c r="A56" s="339" t="s">
        <v>218</v>
      </c>
      <c r="B56" s="339" t="s">
        <v>1088</v>
      </c>
      <c r="C56" s="340" t="s">
        <v>1219</v>
      </c>
      <c r="D56" s="341" t="s">
        <v>1220</v>
      </c>
      <c r="E56" s="339"/>
      <c r="F56" s="339"/>
      <c r="G56" s="346"/>
      <c r="H56" s="339"/>
    </row>
    <row r="57" spans="1:8" ht="13.2">
      <c r="A57" s="96" t="s">
        <v>155</v>
      </c>
      <c r="B57" s="331" t="s">
        <v>1069</v>
      </c>
      <c r="C57" s="186" t="s">
        <v>1221</v>
      </c>
      <c r="D57" s="186" t="s">
        <v>1222</v>
      </c>
      <c r="E57" s="96"/>
      <c r="F57" s="96" t="s">
        <v>1208</v>
      </c>
      <c r="G57" s="186" t="s">
        <v>1203</v>
      </c>
      <c r="H57" s="96"/>
    </row>
    <row r="58" spans="1:8" ht="13.2">
      <c r="A58" s="109" t="s">
        <v>155</v>
      </c>
      <c r="B58" s="331" t="s">
        <v>1069</v>
      </c>
      <c r="C58" s="107" t="s">
        <v>156</v>
      </c>
      <c r="D58" s="195" t="s">
        <v>1223</v>
      </c>
      <c r="E58" s="195"/>
      <c r="F58" s="109"/>
      <c r="G58" s="335">
        <v>45275</v>
      </c>
      <c r="H58" s="109">
        <v>71</v>
      </c>
    </row>
    <row r="59" spans="1:8" ht="13.2">
      <c r="A59" s="109" t="s">
        <v>155</v>
      </c>
      <c r="B59" s="331" t="s">
        <v>1069</v>
      </c>
      <c r="C59" s="107" t="s">
        <v>1224</v>
      </c>
      <c r="D59" s="195" t="s">
        <v>1225</v>
      </c>
      <c r="E59" s="195"/>
      <c r="F59" s="107"/>
      <c r="G59" s="335">
        <v>45275</v>
      </c>
      <c r="H59" s="107">
        <v>47</v>
      </c>
    </row>
    <row r="60" spans="1:8" ht="13.2">
      <c r="A60" s="109" t="s">
        <v>155</v>
      </c>
      <c r="B60" s="331" t="s">
        <v>1069</v>
      </c>
      <c r="C60" s="107" t="s">
        <v>1226</v>
      </c>
      <c r="D60" s="195"/>
      <c r="E60" s="195"/>
      <c r="F60" s="107"/>
      <c r="G60" s="138"/>
      <c r="H60" s="107"/>
    </row>
    <row r="61" spans="1:8" ht="13.2">
      <c r="A61" s="109" t="s">
        <v>155</v>
      </c>
      <c r="B61" s="331" t="s">
        <v>1088</v>
      </c>
      <c r="C61" s="107" t="s">
        <v>1227</v>
      </c>
      <c r="D61" s="195"/>
      <c r="E61" s="195"/>
      <c r="F61" s="107"/>
      <c r="G61" s="138"/>
      <c r="H61" s="107"/>
    </row>
    <row r="62" spans="1:8" ht="13.2">
      <c r="A62" s="339" t="s">
        <v>155</v>
      </c>
      <c r="B62" s="333" t="s">
        <v>1088</v>
      </c>
      <c r="C62" s="332" t="s">
        <v>1228</v>
      </c>
      <c r="D62" s="334"/>
      <c r="E62" s="334"/>
      <c r="F62" s="332"/>
      <c r="G62" s="342"/>
      <c r="H62" s="332"/>
    </row>
    <row r="63" spans="1:8" ht="13.2">
      <c r="A63" s="96" t="s">
        <v>146</v>
      </c>
      <c r="B63" s="331" t="s">
        <v>1069</v>
      </c>
      <c r="C63" s="186" t="s">
        <v>147</v>
      </c>
      <c r="D63" s="96" t="s">
        <v>148</v>
      </c>
      <c r="E63" s="97" t="s">
        <v>150</v>
      </c>
      <c r="F63" s="96"/>
      <c r="G63" s="186" t="s">
        <v>1203</v>
      </c>
      <c r="H63" s="96"/>
    </row>
    <row r="64" spans="1:8" ht="13.2">
      <c r="A64" s="109" t="s">
        <v>146</v>
      </c>
      <c r="B64" s="331" t="s">
        <v>1069</v>
      </c>
      <c r="C64" s="107" t="s">
        <v>1229</v>
      </c>
      <c r="D64" s="195"/>
      <c r="E64" s="109"/>
      <c r="F64" s="109"/>
      <c r="G64" s="107" t="s">
        <v>1203</v>
      </c>
      <c r="H64" s="109"/>
    </row>
    <row r="65" spans="1:8" ht="13.2">
      <c r="A65" s="109" t="s">
        <v>146</v>
      </c>
      <c r="B65" s="331" t="s">
        <v>1088</v>
      </c>
      <c r="C65" s="121" t="s">
        <v>1230</v>
      </c>
      <c r="D65" s="107"/>
      <c r="E65" s="109"/>
      <c r="F65" s="347"/>
      <c r="G65" s="194"/>
      <c r="H65" s="347"/>
    </row>
    <row r="66" spans="1:8" ht="13.2">
      <c r="A66" s="339" t="s">
        <v>1231</v>
      </c>
      <c r="B66" s="333" t="s">
        <v>1088</v>
      </c>
      <c r="C66" s="348" t="s">
        <v>1232</v>
      </c>
      <c r="D66" s="332"/>
      <c r="E66" s="339"/>
      <c r="F66" s="339"/>
      <c r="G66" s="332"/>
      <c r="H66" s="339"/>
    </row>
    <row r="67" spans="1:8" ht="13.2">
      <c r="A67" s="349" t="s">
        <v>276</v>
      </c>
      <c r="B67" s="333" t="s">
        <v>1069</v>
      </c>
      <c r="C67" s="350" t="s">
        <v>194</v>
      </c>
      <c r="D67" s="350" t="s">
        <v>277</v>
      </c>
      <c r="E67" s="350"/>
      <c r="F67" s="350"/>
      <c r="G67" s="350" t="s">
        <v>1203</v>
      </c>
      <c r="H67" s="350"/>
    </row>
    <row r="68" spans="1:8" ht="13.2">
      <c r="A68" s="186" t="s">
        <v>299</v>
      </c>
      <c r="B68" s="331" t="s">
        <v>1069</v>
      </c>
      <c r="C68" s="96" t="s">
        <v>307</v>
      </c>
      <c r="D68" s="195" t="s">
        <v>1233</v>
      </c>
      <c r="E68" s="195"/>
      <c r="F68" s="96"/>
      <c r="G68" s="345">
        <v>45246</v>
      </c>
      <c r="H68" s="186">
        <v>77</v>
      </c>
    </row>
    <row r="69" spans="1:8" ht="13.2">
      <c r="A69" s="109" t="s">
        <v>299</v>
      </c>
      <c r="B69" s="331" t="s">
        <v>1069</v>
      </c>
      <c r="C69" s="186" t="s">
        <v>1234</v>
      </c>
      <c r="D69" s="351" t="s">
        <v>1235</v>
      </c>
      <c r="E69" s="195"/>
      <c r="F69" s="107"/>
      <c r="G69" s="115">
        <v>45246</v>
      </c>
      <c r="H69" s="107">
        <v>70</v>
      </c>
    </row>
    <row r="70" spans="1:8" ht="13.2">
      <c r="A70" s="109" t="s">
        <v>299</v>
      </c>
      <c r="B70" s="331" t="s">
        <v>1069</v>
      </c>
      <c r="C70" s="109" t="s">
        <v>300</v>
      </c>
      <c r="D70" s="109" t="s">
        <v>301</v>
      </c>
      <c r="E70" s="109"/>
      <c r="F70" s="109"/>
      <c r="G70" s="115"/>
      <c r="H70" s="107"/>
    </row>
    <row r="71" spans="1:8" ht="13.2">
      <c r="A71" s="339" t="s">
        <v>299</v>
      </c>
      <c r="B71" s="333" t="s">
        <v>1088</v>
      </c>
      <c r="C71" s="349" t="s">
        <v>1236</v>
      </c>
      <c r="D71" s="333"/>
      <c r="E71" s="333"/>
      <c r="F71" s="339"/>
      <c r="G71" s="346"/>
      <c r="H71" s="332"/>
    </row>
    <row r="72" spans="1:8" ht="13.2">
      <c r="A72" s="96" t="s">
        <v>314</v>
      </c>
      <c r="B72" s="331" t="s">
        <v>1069</v>
      </c>
      <c r="C72" s="96" t="s">
        <v>1237</v>
      </c>
      <c r="D72" s="195" t="s">
        <v>1238</v>
      </c>
      <c r="E72" s="195"/>
      <c r="F72" s="186"/>
      <c r="G72" s="345">
        <v>45246</v>
      </c>
      <c r="H72" s="186">
        <v>65</v>
      </c>
    </row>
    <row r="73" spans="1:8" ht="13.2">
      <c r="A73" s="109" t="s">
        <v>314</v>
      </c>
      <c r="B73" s="331" t="s">
        <v>1069</v>
      </c>
      <c r="C73" s="186" t="s">
        <v>1239</v>
      </c>
      <c r="D73" s="195" t="s">
        <v>1240</v>
      </c>
      <c r="E73" s="195"/>
      <c r="F73" s="107"/>
      <c r="G73" s="115">
        <v>45246</v>
      </c>
      <c r="H73" s="107">
        <v>63</v>
      </c>
    </row>
    <row r="74" spans="1:8" ht="13.2">
      <c r="A74" s="109" t="s">
        <v>314</v>
      </c>
      <c r="B74" s="331" t="s">
        <v>1088</v>
      </c>
      <c r="C74" s="186" t="s">
        <v>1241</v>
      </c>
      <c r="D74" s="195"/>
      <c r="E74" s="195"/>
      <c r="F74" s="107"/>
      <c r="G74" s="115"/>
      <c r="H74" s="107"/>
    </row>
    <row r="75" spans="1:8" ht="13.2">
      <c r="A75" s="339" t="s">
        <v>314</v>
      </c>
      <c r="B75" s="333" t="s">
        <v>1069</v>
      </c>
      <c r="C75" s="350" t="s">
        <v>300</v>
      </c>
      <c r="D75" s="334"/>
      <c r="E75" s="334"/>
      <c r="F75" s="332"/>
      <c r="G75" s="346"/>
      <c r="H75" s="332"/>
    </row>
    <row r="76" spans="1:8" ht="13.2">
      <c r="A76" s="96" t="s">
        <v>201</v>
      </c>
      <c r="B76" s="331" t="s">
        <v>1069</v>
      </c>
      <c r="C76" s="96" t="s">
        <v>1242</v>
      </c>
      <c r="D76" s="96"/>
      <c r="E76" s="96"/>
      <c r="F76" s="96"/>
      <c r="G76" s="345"/>
      <c r="H76" s="186"/>
    </row>
    <row r="77" spans="1:8" ht="13.2">
      <c r="A77" s="109" t="s">
        <v>201</v>
      </c>
      <c r="B77" s="331" t="s">
        <v>1069</v>
      </c>
      <c r="C77" s="109" t="s">
        <v>1243</v>
      </c>
      <c r="D77" s="109"/>
      <c r="E77" s="109"/>
      <c r="F77" s="109"/>
      <c r="G77" s="115"/>
      <c r="H77" s="107"/>
    </row>
    <row r="78" spans="1:8" ht="13.2">
      <c r="A78" s="339" t="s">
        <v>201</v>
      </c>
      <c r="B78" s="333" t="s">
        <v>1069</v>
      </c>
      <c r="C78" s="339" t="s">
        <v>1244</v>
      </c>
      <c r="D78" s="339"/>
      <c r="E78" s="339"/>
      <c r="F78" s="339"/>
      <c r="G78" s="346"/>
      <c r="H78" s="332"/>
    </row>
    <row r="79" spans="1:8" ht="13.2">
      <c r="A79" s="96" t="s">
        <v>259</v>
      </c>
      <c r="B79" s="331" t="s">
        <v>1069</v>
      </c>
      <c r="C79" s="96" t="s">
        <v>147</v>
      </c>
      <c r="D79" s="96" t="s">
        <v>148</v>
      </c>
      <c r="E79" s="97" t="s">
        <v>150</v>
      </c>
      <c r="F79" s="96"/>
      <c r="G79" s="345"/>
      <c r="H79" s="186"/>
    </row>
    <row r="80" spans="1:8" ht="13.2">
      <c r="A80" s="339" t="s">
        <v>259</v>
      </c>
      <c r="B80" s="333" t="s">
        <v>1069</v>
      </c>
      <c r="C80" s="339" t="s">
        <v>1229</v>
      </c>
      <c r="D80" s="339"/>
      <c r="E80" s="339"/>
      <c r="F80" s="339"/>
      <c r="G80" s="346"/>
      <c r="H80" s="332"/>
    </row>
    <row r="81" spans="1:8" ht="13.2">
      <c r="A81" s="96" t="s">
        <v>184</v>
      </c>
      <c r="B81" s="331" t="s">
        <v>1069</v>
      </c>
      <c r="C81" s="96" t="s">
        <v>1245</v>
      </c>
      <c r="D81" s="96" t="s">
        <v>186</v>
      </c>
      <c r="E81" s="352" t="s">
        <v>188</v>
      </c>
      <c r="F81" s="96"/>
      <c r="G81" s="345"/>
      <c r="H81" s="186"/>
    </row>
    <row r="82" spans="1:8" ht="13.2">
      <c r="A82" s="339" t="s">
        <v>184</v>
      </c>
      <c r="B82" s="333" t="s">
        <v>1069</v>
      </c>
      <c r="C82" s="339" t="s">
        <v>1037</v>
      </c>
      <c r="D82" s="339"/>
      <c r="E82" s="339"/>
      <c r="F82" s="339"/>
      <c r="G82" s="346"/>
      <c r="H82" s="332"/>
    </row>
    <row r="83" spans="1:8" ht="13.2">
      <c r="A83" s="96" t="s">
        <v>1046</v>
      </c>
      <c r="B83" s="331" t="s">
        <v>1069</v>
      </c>
      <c r="C83" s="96" t="s">
        <v>108</v>
      </c>
      <c r="D83" s="96" t="s">
        <v>109</v>
      </c>
      <c r="E83" s="97" t="s">
        <v>111</v>
      </c>
      <c r="F83" s="96"/>
      <c r="G83" s="345"/>
      <c r="H83" s="186"/>
    </row>
    <row r="84" spans="1:8" ht="13.2">
      <c r="A84" s="349" t="s">
        <v>1046</v>
      </c>
      <c r="B84" s="333" t="s">
        <v>1088</v>
      </c>
      <c r="C84" s="353" t="s">
        <v>1246</v>
      </c>
      <c r="D84" s="349"/>
      <c r="E84" s="354"/>
      <c r="F84" s="349"/>
      <c r="G84" s="355"/>
      <c r="H84" s="350"/>
    </row>
    <row r="85" spans="1:8" ht="13.2">
      <c r="A85" s="96" t="s">
        <v>1247</v>
      </c>
      <c r="B85" s="331" t="s">
        <v>1069</v>
      </c>
      <c r="C85" s="96" t="s">
        <v>108</v>
      </c>
      <c r="D85" s="96" t="s">
        <v>109</v>
      </c>
      <c r="E85" s="97" t="s">
        <v>111</v>
      </c>
      <c r="F85" s="96"/>
      <c r="G85" s="345"/>
      <c r="H85" s="186"/>
    </row>
    <row r="86" spans="1:8" ht="13.2">
      <c r="A86" s="339" t="s">
        <v>1247</v>
      </c>
      <c r="B86" s="333" t="s">
        <v>1088</v>
      </c>
      <c r="C86" s="339" t="s">
        <v>1248</v>
      </c>
      <c r="D86" s="339"/>
      <c r="E86" s="356"/>
      <c r="F86" s="339"/>
      <c r="G86" s="346"/>
      <c r="H86" s="332"/>
    </row>
    <row r="87" spans="1:8" ht="13.2">
      <c r="A87" s="96" t="s">
        <v>1249</v>
      </c>
      <c r="B87" s="331" t="s">
        <v>1069</v>
      </c>
      <c r="C87" s="96" t="s">
        <v>80</v>
      </c>
      <c r="D87" s="96" t="s">
        <v>81</v>
      </c>
      <c r="E87" s="97" t="s">
        <v>83</v>
      </c>
      <c r="F87" s="96"/>
      <c r="G87" s="345"/>
      <c r="H87" s="186"/>
    </row>
    <row r="88" spans="1:8" ht="13.2">
      <c r="A88" s="109" t="s">
        <v>1249</v>
      </c>
      <c r="B88" s="331" t="s">
        <v>1088</v>
      </c>
      <c r="C88" s="109" t="s">
        <v>1250</v>
      </c>
      <c r="D88" s="161" t="s">
        <v>1251</v>
      </c>
      <c r="E88" s="109"/>
      <c r="F88" s="109"/>
      <c r="G88" s="115"/>
      <c r="H88" s="107"/>
    </row>
    <row r="89" spans="1:8" ht="13.2">
      <c r="A89" s="109" t="s">
        <v>1249</v>
      </c>
      <c r="B89" s="331" t="s">
        <v>1069</v>
      </c>
      <c r="C89" s="109" t="s">
        <v>1191</v>
      </c>
      <c r="D89" s="109"/>
      <c r="E89" s="109"/>
      <c r="F89" s="109"/>
      <c r="G89" s="115"/>
      <c r="H89" s="107"/>
    </row>
    <row r="90" spans="1:8" ht="13.2">
      <c r="A90" s="349" t="s">
        <v>1249</v>
      </c>
      <c r="B90" s="333" t="s">
        <v>1088</v>
      </c>
      <c r="C90" s="161" t="s">
        <v>1252</v>
      </c>
      <c r="D90" s="161" t="s">
        <v>1253</v>
      </c>
      <c r="E90" s="349"/>
      <c r="F90" s="349"/>
      <c r="G90" s="355"/>
      <c r="H90" s="350"/>
    </row>
    <row r="91" spans="1:8" ht="13.2">
      <c r="A91" s="96" t="s">
        <v>1024</v>
      </c>
      <c r="B91" s="331" t="s">
        <v>1069</v>
      </c>
      <c r="C91" s="96" t="s">
        <v>126</v>
      </c>
      <c r="D91" s="96" t="s">
        <v>127</v>
      </c>
      <c r="E91" s="352" t="s">
        <v>129</v>
      </c>
      <c r="F91" s="96"/>
      <c r="G91" s="345"/>
      <c r="H91" s="186"/>
    </row>
    <row r="92" spans="1:8" ht="13.2">
      <c r="A92" s="109" t="s">
        <v>1024</v>
      </c>
      <c r="B92" s="331" t="s">
        <v>1069</v>
      </c>
      <c r="C92" s="109" t="s">
        <v>1025</v>
      </c>
      <c r="D92" s="109"/>
      <c r="E92" s="109"/>
      <c r="F92" s="109"/>
      <c r="G92" s="115"/>
      <c r="H92" s="107"/>
    </row>
    <row r="93" spans="1:8" ht="13.2">
      <c r="A93" s="339" t="s">
        <v>1024</v>
      </c>
      <c r="B93" s="333" t="s">
        <v>1069</v>
      </c>
      <c r="C93" s="339" t="s">
        <v>1254</v>
      </c>
      <c r="D93" s="339"/>
      <c r="E93" s="339"/>
      <c r="F93" s="339"/>
      <c r="G93" s="346"/>
      <c r="H93" s="332"/>
    </row>
    <row r="94" spans="1:8" ht="13.2">
      <c r="A94" s="96" t="s">
        <v>1007</v>
      </c>
      <c r="B94" s="331" t="s">
        <v>1069</v>
      </c>
      <c r="C94" s="96" t="s">
        <v>99</v>
      </c>
      <c r="D94" s="96" t="s">
        <v>100</v>
      </c>
      <c r="E94" s="97" t="s">
        <v>102</v>
      </c>
      <c r="F94" s="96"/>
      <c r="G94" s="345"/>
      <c r="H94" s="186"/>
    </row>
    <row r="95" spans="1:8" ht="13.2">
      <c r="A95" s="339" t="s">
        <v>1007</v>
      </c>
      <c r="B95" s="333" t="s">
        <v>1069</v>
      </c>
      <c r="C95" s="339" t="s">
        <v>1013</v>
      </c>
      <c r="D95" s="339"/>
      <c r="E95" s="339"/>
      <c r="F95" s="339"/>
      <c r="G95" s="346"/>
      <c r="H95" s="332"/>
    </row>
    <row r="96" spans="1:8" ht="13.2">
      <c r="A96" s="96" t="s">
        <v>98</v>
      </c>
      <c r="B96" s="331" t="s">
        <v>1069</v>
      </c>
      <c r="C96" s="96" t="s">
        <v>99</v>
      </c>
      <c r="D96" s="96" t="s">
        <v>100</v>
      </c>
      <c r="E96" s="97" t="s">
        <v>102</v>
      </c>
      <c r="F96" s="96"/>
      <c r="G96" s="345"/>
      <c r="H96" s="186"/>
    </row>
    <row r="97" spans="1:8" ht="13.2">
      <c r="A97" s="339" t="s">
        <v>98</v>
      </c>
      <c r="B97" s="333" t="s">
        <v>1088</v>
      </c>
      <c r="C97" s="339" t="s">
        <v>1255</v>
      </c>
      <c r="D97" s="339"/>
      <c r="E97" s="356"/>
      <c r="F97" s="339"/>
      <c r="G97" s="346"/>
      <c r="H97" s="332"/>
    </row>
    <row r="98" spans="1:8" ht="13.2">
      <c r="A98" s="96" t="s">
        <v>250</v>
      </c>
      <c r="B98" s="331" t="s">
        <v>1069</v>
      </c>
      <c r="C98" s="96" t="s">
        <v>257</v>
      </c>
      <c r="D98" s="96" t="s">
        <v>252</v>
      </c>
      <c r="E98" s="352" t="s">
        <v>254</v>
      </c>
      <c r="F98" s="96"/>
      <c r="G98" s="345"/>
      <c r="H98" s="186"/>
    </row>
    <row r="99" spans="1:8" ht="13.2">
      <c r="A99" s="109" t="s">
        <v>250</v>
      </c>
      <c r="B99" s="331" t="s">
        <v>1088</v>
      </c>
      <c r="C99" s="96" t="s">
        <v>1256</v>
      </c>
      <c r="D99" s="331"/>
      <c r="E99" s="357"/>
      <c r="F99" s="109"/>
      <c r="G99" s="115"/>
      <c r="H99" s="107"/>
    </row>
    <row r="100" spans="1:8" ht="13.2">
      <c r="A100" s="339" t="s">
        <v>250</v>
      </c>
      <c r="B100" s="333" t="s">
        <v>1088</v>
      </c>
      <c r="C100" s="349" t="s">
        <v>1257</v>
      </c>
      <c r="D100" s="333"/>
      <c r="E100" s="358"/>
      <c r="F100" s="339"/>
      <c r="G100" s="346"/>
      <c r="H100" s="332"/>
    </row>
    <row r="101" spans="1:8" ht="13.2">
      <c r="A101" s="96" t="s">
        <v>233</v>
      </c>
      <c r="B101" s="331" t="s">
        <v>1069</v>
      </c>
      <c r="C101" s="359" t="s">
        <v>1258</v>
      </c>
      <c r="D101" s="360" t="s">
        <v>235</v>
      </c>
      <c r="E101" s="361" t="s">
        <v>238</v>
      </c>
      <c r="F101" s="362"/>
      <c r="G101" s="363">
        <v>45246</v>
      </c>
      <c r="H101" s="364">
        <v>77</v>
      </c>
    </row>
    <row r="102" spans="1:8" ht="13.2">
      <c r="A102" s="109" t="s">
        <v>233</v>
      </c>
      <c r="B102" s="331" t="s">
        <v>1069</v>
      </c>
      <c r="C102" s="186" t="s">
        <v>1259</v>
      </c>
      <c r="D102" s="195" t="s">
        <v>1260</v>
      </c>
      <c r="E102" s="195"/>
      <c r="F102" s="107"/>
      <c r="G102" s="115">
        <v>45246</v>
      </c>
      <c r="H102" s="109">
        <v>78</v>
      </c>
    </row>
    <row r="103" spans="1:8" ht="13.2">
      <c r="A103" s="109" t="s">
        <v>233</v>
      </c>
      <c r="B103" s="331" t="s">
        <v>1069</v>
      </c>
      <c r="C103" s="107" t="s">
        <v>1261</v>
      </c>
      <c r="D103" s="365" t="s">
        <v>1262</v>
      </c>
      <c r="E103" s="365"/>
      <c r="F103" s="109"/>
      <c r="G103" s="115">
        <v>45246</v>
      </c>
      <c r="H103" s="107">
        <v>53</v>
      </c>
    </row>
    <row r="104" spans="1:8" ht="13.2">
      <c r="A104" s="339" t="s">
        <v>233</v>
      </c>
      <c r="B104" s="333" t="s">
        <v>1069</v>
      </c>
      <c r="C104" s="350" t="s">
        <v>1263</v>
      </c>
      <c r="D104" s="334" t="s">
        <v>1264</v>
      </c>
      <c r="E104" s="334"/>
      <c r="F104" s="339"/>
      <c r="G104" s="346">
        <v>45246</v>
      </c>
      <c r="H104" s="332">
        <v>58</v>
      </c>
    </row>
    <row r="105" spans="1:8" ht="13.2">
      <c r="A105" s="96" t="s">
        <v>280</v>
      </c>
      <c r="B105" s="331" t="s">
        <v>1069</v>
      </c>
      <c r="C105" s="96" t="s">
        <v>281</v>
      </c>
      <c r="D105" s="96" t="s">
        <v>282</v>
      </c>
      <c r="E105" s="97" t="s">
        <v>285</v>
      </c>
      <c r="F105" s="96"/>
      <c r="G105" s="345"/>
      <c r="H105" s="186"/>
    </row>
    <row r="106" spans="1:8" ht="13.2">
      <c r="A106" s="339" t="s">
        <v>280</v>
      </c>
      <c r="B106" s="333" t="s">
        <v>1069</v>
      </c>
      <c r="C106" s="339" t="s">
        <v>1265</v>
      </c>
      <c r="D106" s="339"/>
      <c r="E106" s="339"/>
      <c r="F106" s="339"/>
      <c r="G106" s="346"/>
      <c r="H106" s="332"/>
    </row>
    <row r="107" spans="1:8" ht="13.2">
      <c r="A107" s="96" t="s">
        <v>1266</v>
      </c>
      <c r="B107" s="331" t="s">
        <v>1069</v>
      </c>
      <c r="C107" s="186" t="s">
        <v>1267</v>
      </c>
      <c r="D107" s="186"/>
      <c r="E107" s="186"/>
      <c r="F107" s="186" t="s">
        <v>153</v>
      </c>
      <c r="G107" s="186"/>
      <c r="H107" s="186"/>
    </row>
    <row r="108" spans="1:8" ht="13.2">
      <c r="A108" s="109" t="s">
        <v>1266</v>
      </c>
      <c r="B108" s="331" t="s">
        <v>1069</v>
      </c>
      <c r="C108" s="107" t="s">
        <v>272</v>
      </c>
      <c r="D108" s="107" t="s">
        <v>1268</v>
      </c>
      <c r="E108" s="109"/>
      <c r="F108" s="109" t="s">
        <v>1077</v>
      </c>
      <c r="G108" s="107" t="s">
        <v>1203</v>
      </c>
      <c r="H108" s="109"/>
    </row>
    <row r="109" spans="1:8" ht="13.2">
      <c r="A109" s="109" t="s">
        <v>1266</v>
      </c>
      <c r="B109" s="331" t="s">
        <v>1069</v>
      </c>
      <c r="C109" s="344" t="s">
        <v>1269</v>
      </c>
      <c r="D109" s="107" t="s">
        <v>1270</v>
      </c>
      <c r="E109" s="107"/>
      <c r="F109" s="107" t="s">
        <v>1077</v>
      </c>
      <c r="G109" s="107" t="s">
        <v>1203</v>
      </c>
      <c r="H109" s="107"/>
    </row>
    <row r="110" spans="1:8" ht="13.2">
      <c r="A110" s="109" t="s">
        <v>1266</v>
      </c>
      <c r="B110" s="331" t="s">
        <v>1069</v>
      </c>
      <c r="C110" s="107" t="s">
        <v>1271</v>
      </c>
      <c r="D110" s="351" t="s">
        <v>1272</v>
      </c>
      <c r="E110" s="109"/>
      <c r="F110" s="109" t="s">
        <v>55</v>
      </c>
      <c r="G110" s="107" t="s">
        <v>1203</v>
      </c>
      <c r="H110" s="109"/>
    </row>
    <row r="111" spans="1:8" ht="13.2">
      <c r="A111" s="109" t="s">
        <v>1266</v>
      </c>
      <c r="B111" s="331" t="s">
        <v>1069</v>
      </c>
      <c r="C111" s="109" t="s">
        <v>1273</v>
      </c>
      <c r="D111" s="109"/>
      <c r="E111" s="109"/>
      <c r="F111" s="109"/>
      <c r="G111" s="115"/>
      <c r="H111" s="107"/>
    </row>
    <row r="112" spans="1:8" ht="13.2">
      <c r="A112" s="109" t="s">
        <v>1266</v>
      </c>
      <c r="B112" s="331" t="s">
        <v>1088</v>
      </c>
      <c r="C112" s="109" t="s">
        <v>1274</v>
      </c>
      <c r="D112" s="109"/>
      <c r="E112" s="109"/>
      <c r="F112" s="109"/>
      <c r="G112" s="115"/>
      <c r="H112" s="107"/>
    </row>
    <row r="113" spans="1:8" ht="13.2">
      <c r="A113" s="109" t="s">
        <v>1266</v>
      </c>
      <c r="B113" s="331" t="s">
        <v>1088</v>
      </c>
      <c r="C113" s="109" t="s">
        <v>1275</v>
      </c>
      <c r="D113" s="109"/>
      <c r="E113" s="109"/>
      <c r="F113" s="109"/>
      <c r="G113" s="115"/>
      <c r="H113" s="107"/>
    </row>
    <row r="114" spans="1:8" ht="13.2">
      <c r="A114" s="339" t="s">
        <v>1266</v>
      </c>
      <c r="B114" s="333" t="s">
        <v>1088</v>
      </c>
      <c r="C114" s="339" t="s">
        <v>1276</v>
      </c>
      <c r="D114" s="339"/>
      <c r="E114" s="339"/>
      <c r="F114" s="339"/>
      <c r="G114" s="346"/>
      <c r="H114" s="332"/>
    </row>
    <row r="115" spans="1:8" ht="13.2">
      <c r="A115" s="96" t="s">
        <v>176</v>
      </c>
      <c r="B115" s="331" t="s">
        <v>1069</v>
      </c>
      <c r="C115" s="366" t="s">
        <v>1277</v>
      </c>
      <c r="D115" s="96"/>
      <c r="E115" s="96"/>
      <c r="F115" s="96"/>
      <c r="G115" s="345"/>
      <c r="H115" s="186"/>
    </row>
    <row r="116" spans="1:8" ht="13.2">
      <c r="A116" s="109" t="s">
        <v>176</v>
      </c>
      <c r="B116" s="331" t="s">
        <v>1069</v>
      </c>
      <c r="C116" s="121" t="s">
        <v>1278</v>
      </c>
      <c r="D116" s="109"/>
      <c r="E116" s="109"/>
      <c r="F116" s="109"/>
      <c r="G116" s="115"/>
      <c r="H116" s="107"/>
    </row>
    <row r="117" spans="1:8" ht="13.2">
      <c r="A117" s="109" t="s">
        <v>176</v>
      </c>
      <c r="B117" s="331" t="s">
        <v>1069</v>
      </c>
      <c r="C117" s="121" t="s">
        <v>1279</v>
      </c>
      <c r="D117" s="109"/>
      <c r="E117" s="109"/>
      <c r="F117" s="109"/>
      <c r="G117" s="115"/>
      <c r="H117" s="107"/>
    </row>
    <row r="118" spans="1:8" ht="13.2">
      <c r="A118" s="109" t="s">
        <v>176</v>
      </c>
      <c r="B118" s="331" t="s">
        <v>1069</v>
      </c>
      <c r="C118" s="121" t="s">
        <v>1280</v>
      </c>
      <c r="D118" s="109"/>
      <c r="E118" s="109"/>
      <c r="F118" s="109"/>
      <c r="G118" s="115"/>
      <c r="H118" s="107"/>
    </row>
    <row r="119" spans="1:8" ht="13.2">
      <c r="A119" s="339" t="s">
        <v>176</v>
      </c>
      <c r="B119" s="333" t="s">
        <v>1069</v>
      </c>
      <c r="C119" s="348" t="s">
        <v>54</v>
      </c>
      <c r="D119" s="339"/>
      <c r="E119" s="339"/>
      <c r="F119" s="339"/>
      <c r="G119" s="346"/>
      <c r="H119" s="332"/>
    </row>
    <row r="120" spans="1:8" ht="13.2">
      <c r="A120" s="96" t="s">
        <v>1281</v>
      </c>
      <c r="B120" s="331" t="s">
        <v>1069</v>
      </c>
      <c r="C120" s="96" t="s">
        <v>47</v>
      </c>
      <c r="D120" s="367"/>
      <c r="E120" s="367"/>
      <c r="F120" s="367"/>
      <c r="G120" s="272"/>
      <c r="H120" s="185"/>
    </row>
    <row r="121" spans="1:8" ht="13.2">
      <c r="A121" s="109" t="s">
        <v>1281</v>
      </c>
      <c r="B121" s="331"/>
      <c r="C121" s="109" t="s">
        <v>1282</v>
      </c>
      <c r="D121" s="280"/>
      <c r="E121" s="280"/>
      <c r="F121" s="280"/>
      <c r="G121" s="368"/>
      <c r="H121" s="108"/>
    </row>
    <row r="122" spans="1:8" ht="13.2">
      <c r="A122" s="109" t="s">
        <v>1281</v>
      </c>
      <c r="B122" s="331"/>
      <c r="C122" s="109" t="s">
        <v>1283</v>
      </c>
      <c r="D122" s="280"/>
      <c r="E122" s="280"/>
      <c r="F122" s="280"/>
      <c r="G122" s="368"/>
      <c r="H122" s="108"/>
    </row>
    <row r="123" spans="1:8" ht="13.2">
      <c r="A123" s="109" t="s">
        <v>1281</v>
      </c>
      <c r="B123" s="331"/>
      <c r="C123" s="109" t="s">
        <v>54</v>
      </c>
      <c r="D123" s="280"/>
      <c r="E123" s="280"/>
      <c r="F123" s="280"/>
      <c r="G123" s="368"/>
      <c r="H123" s="108"/>
    </row>
    <row r="124" spans="1:8" ht="13.2">
      <c r="A124" s="109" t="s">
        <v>1281</v>
      </c>
      <c r="B124" s="331"/>
      <c r="C124" s="109" t="s">
        <v>1284</v>
      </c>
      <c r="D124" s="280"/>
      <c r="E124" s="280"/>
      <c r="F124" s="280"/>
      <c r="G124" s="368"/>
      <c r="H124" s="108"/>
    </row>
    <row r="125" spans="1:8" ht="13.2">
      <c r="A125" s="339" t="s">
        <v>1281</v>
      </c>
      <c r="B125" s="333"/>
      <c r="C125" s="339" t="s">
        <v>1285</v>
      </c>
      <c r="D125" s="369"/>
      <c r="E125" s="369"/>
      <c r="F125" s="369"/>
      <c r="G125" s="370"/>
      <c r="H125" s="371"/>
    </row>
    <row r="126" spans="1:8" ht="13.2">
      <c r="A126" s="349" t="s">
        <v>193</v>
      </c>
      <c r="B126" s="333" t="s">
        <v>1069</v>
      </c>
      <c r="C126" s="372" t="s">
        <v>194</v>
      </c>
      <c r="D126" s="373"/>
      <c r="E126" s="373"/>
      <c r="F126" s="373"/>
      <c r="G126" s="374"/>
      <c r="H126" s="375"/>
    </row>
    <row r="127" spans="1:8" ht="13.2">
      <c r="A127" s="96" t="s">
        <v>164</v>
      </c>
      <c r="B127" s="331" t="s">
        <v>1069</v>
      </c>
      <c r="C127" s="96" t="s">
        <v>47</v>
      </c>
      <c r="D127" s="367"/>
      <c r="E127" s="367"/>
      <c r="F127" s="367"/>
      <c r="G127" s="272"/>
      <c r="H127" s="185"/>
    </row>
    <row r="128" spans="1:8" ht="13.2">
      <c r="A128" s="96" t="s">
        <v>164</v>
      </c>
      <c r="B128" s="331"/>
      <c r="C128" s="109" t="s">
        <v>1286</v>
      </c>
      <c r="D128" s="261"/>
      <c r="E128" s="261"/>
      <c r="F128" s="280"/>
      <c r="G128" s="376"/>
      <c r="H128" s="108"/>
    </row>
    <row r="129" spans="1:8" ht="13.2">
      <c r="A129" s="96" t="s">
        <v>164</v>
      </c>
      <c r="B129" s="331"/>
      <c r="C129" s="109" t="s">
        <v>1287</v>
      </c>
      <c r="D129" s="261"/>
      <c r="E129" s="261"/>
      <c r="F129" s="280"/>
      <c r="G129" s="376"/>
      <c r="H129" s="108"/>
    </row>
    <row r="130" spans="1:8" ht="13.2">
      <c r="A130" s="349" t="s">
        <v>164</v>
      </c>
      <c r="B130" s="333"/>
      <c r="C130" s="339" t="s">
        <v>1283</v>
      </c>
      <c r="D130" s="377"/>
      <c r="E130" s="377"/>
      <c r="F130" s="369"/>
      <c r="G130" s="370"/>
      <c r="H130" s="371"/>
    </row>
    <row r="131" spans="1:8" ht="13.2">
      <c r="A131" s="96" t="s">
        <v>263</v>
      </c>
      <c r="B131" s="331" t="s">
        <v>1069</v>
      </c>
      <c r="C131" s="359" t="s">
        <v>264</v>
      </c>
      <c r="D131" s="360" t="s">
        <v>265</v>
      </c>
      <c r="E131" s="361" t="s">
        <v>268</v>
      </c>
      <c r="F131" s="364" t="s">
        <v>1147</v>
      </c>
      <c r="G131" s="378" t="s">
        <v>1203</v>
      </c>
      <c r="H131" s="362"/>
    </row>
    <row r="132" spans="1:8" ht="13.2">
      <c r="A132" s="339" t="s">
        <v>263</v>
      </c>
      <c r="B132" s="333"/>
      <c r="C132" s="379" t="s">
        <v>1288</v>
      </c>
      <c r="D132" s="380"/>
      <c r="E132" s="381"/>
      <c r="F132" s="382"/>
      <c r="G132" s="383"/>
      <c r="H132" s="383"/>
    </row>
    <row r="133" spans="1:8" ht="13.2">
      <c r="A133" s="96" t="s">
        <v>210</v>
      </c>
      <c r="B133" s="331" t="s">
        <v>1069</v>
      </c>
      <c r="C133" s="359" t="s">
        <v>216</v>
      </c>
      <c r="D133" s="359" t="s">
        <v>964</v>
      </c>
      <c r="E133" s="360"/>
      <c r="F133" s="362"/>
      <c r="G133" s="384">
        <v>45275</v>
      </c>
      <c r="H133" s="362">
        <v>74</v>
      </c>
    </row>
    <row r="134" spans="1:8" ht="13.2">
      <c r="A134" s="349" t="s">
        <v>210</v>
      </c>
      <c r="B134" s="333" t="s">
        <v>1088</v>
      </c>
      <c r="C134" s="385" t="s">
        <v>1289</v>
      </c>
      <c r="D134" s="161" t="s">
        <v>1290</v>
      </c>
      <c r="E134" s="386"/>
      <c r="F134" s="387"/>
      <c r="G134" s="388"/>
      <c r="H134" s="389"/>
    </row>
    <row r="135" spans="1:8" ht="13.2">
      <c r="A135" s="96" t="s">
        <v>289</v>
      </c>
      <c r="B135" s="331" t="s">
        <v>1069</v>
      </c>
      <c r="C135" s="195" t="s">
        <v>290</v>
      </c>
      <c r="D135" s="195" t="s">
        <v>293</v>
      </c>
      <c r="E135" s="195"/>
      <c r="F135" s="195"/>
      <c r="G135" s="390">
        <v>45275</v>
      </c>
      <c r="H135" s="186">
        <v>91</v>
      </c>
    </row>
    <row r="136" spans="1:8" ht="13.2">
      <c r="A136" s="109" t="s">
        <v>289</v>
      </c>
      <c r="B136" s="331" t="s">
        <v>1088</v>
      </c>
      <c r="C136" s="195" t="s">
        <v>1291</v>
      </c>
      <c r="D136" s="195"/>
      <c r="E136" s="195"/>
      <c r="F136" s="195"/>
      <c r="G136" s="138"/>
      <c r="H136" s="107"/>
    </row>
    <row r="137" spans="1:8" ht="13.2">
      <c r="A137" s="339" t="s">
        <v>289</v>
      </c>
      <c r="B137" s="333" t="s">
        <v>1088</v>
      </c>
      <c r="C137" s="334" t="s">
        <v>1292</v>
      </c>
      <c r="D137" s="334"/>
      <c r="E137" s="334"/>
      <c r="F137" s="334"/>
      <c r="G137" s="342"/>
      <c r="H137" s="332"/>
    </row>
    <row r="138" spans="1:8" ht="13.2">
      <c r="A138" s="96" t="s">
        <v>138</v>
      </c>
      <c r="B138" s="331" t="s">
        <v>1069</v>
      </c>
      <c r="C138" s="364" t="s">
        <v>1293</v>
      </c>
      <c r="D138" s="364"/>
      <c r="E138" s="364"/>
      <c r="F138" s="364"/>
      <c r="G138" s="363"/>
      <c r="H138" s="362"/>
    </row>
    <row r="139" spans="1:8" ht="13.2">
      <c r="A139" s="109" t="s">
        <v>138</v>
      </c>
      <c r="B139" s="109" t="s">
        <v>1069</v>
      </c>
      <c r="C139" s="391" t="s">
        <v>1294</v>
      </c>
      <c r="D139" s="391"/>
      <c r="E139" s="391"/>
      <c r="F139" s="391"/>
      <c r="G139" s="392"/>
      <c r="H139" s="306"/>
    </row>
    <row r="140" spans="1:8" ht="13.2">
      <c r="A140" s="109" t="s">
        <v>138</v>
      </c>
      <c r="B140" s="109" t="s">
        <v>1088</v>
      </c>
      <c r="C140" s="391" t="s">
        <v>1295</v>
      </c>
      <c r="D140" s="391"/>
      <c r="E140" s="391"/>
      <c r="F140" s="391"/>
      <c r="G140" s="392"/>
      <c r="H140" s="306"/>
    </row>
    <row r="141" spans="1:8" ht="13.2">
      <c r="A141" s="339" t="s">
        <v>138</v>
      </c>
      <c r="B141" s="339" t="s">
        <v>1088</v>
      </c>
      <c r="C141" s="382" t="s">
        <v>1296</v>
      </c>
      <c r="D141" s="382"/>
      <c r="E141" s="382"/>
      <c r="F141" s="382"/>
      <c r="G141" s="393"/>
      <c r="H141" s="383"/>
    </row>
    <row r="142" spans="1:8" ht="13.2">
      <c r="A142" s="96" t="s">
        <v>60</v>
      </c>
      <c r="B142" s="331" t="s">
        <v>1069</v>
      </c>
      <c r="C142" s="364" t="s">
        <v>61</v>
      </c>
      <c r="D142" s="96" t="s">
        <v>62</v>
      </c>
      <c r="E142" s="364"/>
      <c r="F142" s="364"/>
      <c r="G142" s="363"/>
      <c r="H142" s="362"/>
    </row>
    <row r="143" spans="1:8" ht="13.2">
      <c r="A143" s="96" t="s">
        <v>60</v>
      </c>
      <c r="B143" s="331" t="s">
        <v>1088</v>
      </c>
      <c r="C143" s="394" t="s">
        <v>1297</v>
      </c>
      <c r="D143" s="96"/>
      <c r="E143" s="364"/>
      <c r="F143" s="364"/>
      <c r="G143" s="363"/>
      <c r="H143" s="362"/>
    </row>
    <row r="144" spans="1:8" ht="13.2">
      <c r="A144" s="349" t="s">
        <v>60</v>
      </c>
      <c r="B144" s="333" t="s">
        <v>1088</v>
      </c>
      <c r="C144" s="395" t="s">
        <v>1298</v>
      </c>
      <c r="D144" s="349"/>
      <c r="E144" s="396"/>
      <c r="F144" s="396"/>
      <c r="G144" s="397"/>
      <c r="H144" s="389"/>
    </row>
    <row r="145" spans="1:8" ht="13.2">
      <c r="A145" s="96" t="s">
        <v>89</v>
      </c>
      <c r="B145" s="331" t="s">
        <v>1069</v>
      </c>
      <c r="C145" s="398" t="s">
        <v>90</v>
      </c>
      <c r="D145" s="96" t="s">
        <v>91</v>
      </c>
      <c r="E145" s="367"/>
      <c r="F145" s="367"/>
      <c r="G145" s="272"/>
      <c r="H145" s="185"/>
    </row>
    <row r="146" spans="1:8" ht="13.2">
      <c r="A146" s="109" t="s">
        <v>89</v>
      </c>
      <c r="B146" s="331" t="s">
        <v>1069</v>
      </c>
      <c r="C146" s="109" t="s">
        <v>988</v>
      </c>
      <c r="D146" s="109"/>
      <c r="E146" s="109"/>
      <c r="F146" s="109"/>
      <c r="G146" s="115"/>
      <c r="H146" s="107"/>
    </row>
    <row r="147" spans="1:8" ht="13.2">
      <c r="A147" s="347" t="s">
        <v>89</v>
      </c>
      <c r="B147" s="189" t="s">
        <v>1069</v>
      </c>
      <c r="C147" s="347" t="s">
        <v>1299</v>
      </c>
      <c r="D147" s="347"/>
      <c r="E147" s="347"/>
      <c r="F147" s="347"/>
      <c r="G147" s="399"/>
      <c r="H147" s="194"/>
    </row>
    <row r="148" spans="1:8" ht="13.2">
      <c r="A148" s="400" t="s">
        <v>116</v>
      </c>
      <c r="B148" s="400" t="s">
        <v>1069</v>
      </c>
      <c r="C148" s="400" t="s">
        <v>117</v>
      </c>
      <c r="D148" s="400"/>
      <c r="E148" s="400"/>
      <c r="F148" s="400"/>
      <c r="G148" s="401"/>
      <c r="H148" s="402"/>
    </row>
    <row r="149" spans="1:8" ht="13.2">
      <c r="A149" s="96" t="s">
        <v>70</v>
      </c>
      <c r="B149" s="96" t="s">
        <v>1069</v>
      </c>
      <c r="C149" s="96" t="s">
        <v>71</v>
      </c>
      <c r="D149" s="96"/>
      <c r="E149" s="96"/>
      <c r="F149" s="96"/>
      <c r="G149" s="345"/>
      <c r="H149" s="186"/>
    </row>
    <row r="150" spans="1:8" ht="13.2">
      <c r="A150" s="349" t="s">
        <v>70</v>
      </c>
      <c r="B150" s="333" t="s">
        <v>1088</v>
      </c>
      <c r="C150" s="349" t="s">
        <v>1300</v>
      </c>
      <c r="D150" s="349"/>
      <c r="E150" s="349"/>
      <c r="F150" s="349"/>
      <c r="G150" s="355"/>
      <c r="H150" s="350"/>
    </row>
    <row r="151" spans="1:8" ht="13.2">
      <c r="A151" s="349" t="s">
        <v>309</v>
      </c>
      <c r="B151" s="333" t="s">
        <v>1069</v>
      </c>
      <c r="C151" s="349" t="s">
        <v>80</v>
      </c>
      <c r="D151" s="349" t="s">
        <v>81</v>
      </c>
      <c r="E151" s="354" t="s">
        <v>83</v>
      </c>
      <c r="F151" s="349"/>
      <c r="G151" s="355"/>
      <c r="H151" s="350"/>
    </row>
    <row r="152" spans="1:8" ht="13.2">
      <c r="A152" s="364" t="s">
        <v>1301</v>
      </c>
      <c r="B152" s="331" t="s">
        <v>1069</v>
      </c>
      <c r="C152" s="186" t="s">
        <v>1302</v>
      </c>
      <c r="D152" s="186" t="s">
        <v>1303</v>
      </c>
      <c r="E152" s="96"/>
      <c r="F152" s="96"/>
      <c r="G152" s="345">
        <v>45275</v>
      </c>
      <c r="H152" s="186"/>
    </row>
    <row r="153" spans="1:8" ht="13.2">
      <c r="A153" s="391" t="s">
        <v>1304</v>
      </c>
      <c r="B153" s="331" t="s">
        <v>1069</v>
      </c>
      <c r="C153" s="109" t="s">
        <v>1305</v>
      </c>
      <c r="D153" s="109" t="s">
        <v>1306</v>
      </c>
      <c r="E153" s="109"/>
      <c r="F153" s="109"/>
      <c r="G153" s="115"/>
      <c r="H153" s="107"/>
    </row>
    <row r="154" spans="1:8" ht="13.2">
      <c r="A154" s="391" t="s">
        <v>494</v>
      </c>
      <c r="B154" s="331" t="s">
        <v>1069</v>
      </c>
      <c r="C154" s="121" t="s">
        <v>1307</v>
      </c>
      <c r="D154" s="403" t="s">
        <v>1308</v>
      </c>
      <c r="E154" s="109"/>
      <c r="F154" s="109"/>
      <c r="G154" s="115">
        <v>45275</v>
      </c>
      <c r="H154" s="107"/>
    </row>
    <row r="155" spans="1:8" ht="13.2">
      <c r="A155" s="391" t="s">
        <v>494</v>
      </c>
      <c r="B155" s="331" t="s">
        <v>1069</v>
      </c>
      <c r="C155" s="121" t="s">
        <v>1309</v>
      </c>
      <c r="D155" s="121" t="s">
        <v>1310</v>
      </c>
      <c r="E155" s="109"/>
      <c r="F155" s="109"/>
      <c r="G155" s="335">
        <v>45275</v>
      </c>
      <c r="H155" s="107">
        <v>59</v>
      </c>
    </row>
    <row r="156" spans="1:8" ht="13.2">
      <c r="A156" s="391" t="s">
        <v>494</v>
      </c>
      <c r="B156" s="331" t="s">
        <v>1069</v>
      </c>
      <c r="C156" s="404" t="s">
        <v>1311</v>
      </c>
      <c r="D156" s="121" t="s">
        <v>1312</v>
      </c>
      <c r="E156" s="109"/>
      <c r="F156" s="109"/>
      <c r="G156" s="115">
        <v>45275</v>
      </c>
      <c r="H156" s="109"/>
    </row>
    <row r="157" spans="1:8" ht="13.2">
      <c r="A157" s="391" t="s">
        <v>485</v>
      </c>
      <c r="B157" s="331" t="s">
        <v>1069</v>
      </c>
      <c r="C157" s="109" t="s">
        <v>1313</v>
      </c>
      <c r="D157" s="109" t="s">
        <v>1314</v>
      </c>
      <c r="E157" s="109"/>
      <c r="F157" s="109"/>
      <c r="G157" s="335">
        <v>45275</v>
      </c>
      <c r="H157" s="109">
        <v>70</v>
      </c>
    </row>
    <row r="158" spans="1:8" ht="13.2">
      <c r="A158" s="391" t="s">
        <v>488</v>
      </c>
      <c r="B158" s="331" t="s">
        <v>1069</v>
      </c>
      <c r="C158" s="405" t="s">
        <v>1315</v>
      </c>
      <c r="D158" s="107" t="s">
        <v>548</v>
      </c>
      <c r="E158" s="109"/>
      <c r="F158" s="109"/>
      <c r="G158" s="138"/>
      <c r="H158" s="109"/>
    </row>
    <row r="159" spans="1:8" ht="13.2">
      <c r="A159" s="391" t="s">
        <v>488</v>
      </c>
      <c r="B159" s="331" t="s">
        <v>1069</v>
      </c>
      <c r="C159" s="109" t="s">
        <v>1316</v>
      </c>
      <c r="D159" s="107" t="s">
        <v>1317</v>
      </c>
      <c r="E159" s="406"/>
      <c r="F159" s="406"/>
      <c r="G159" s="406"/>
      <c r="H159" s="406"/>
    </row>
    <row r="160" spans="1:8" ht="13.2">
      <c r="A160" s="391" t="s">
        <v>455</v>
      </c>
      <c r="B160" s="331" t="s">
        <v>1069</v>
      </c>
      <c r="C160" s="107" t="s">
        <v>1318</v>
      </c>
      <c r="D160" s="365" t="s">
        <v>1319</v>
      </c>
      <c r="E160" s="109"/>
      <c r="F160" s="109"/>
      <c r="G160" s="115">
        <v>45246</v>
      </c>
      <c r="H160" s="109">
        <v>57</v>
      </c>
    </row>
    <row r="161" spans="1:8" ht="13.2">
      <c r="A161" s="391" t="s">
        <v>455</v>
      </c>
      <c r="B161" s="331" t="s">
        <v>1069</v>
      </c>
      <c r="C161" s="186" t="s">
        <v>1320</v>
      </c>
      <c r="D161" s="365" t="s">
        <v>1319</v>
      </c>
      <c r="E161" s="109"/>
      <c r="F161" s="109"/>
      <c r="G161" s="115">
        <v>45246</v>
      </c>
      <c r="H161" s="109">
        <v>57</v>
      </c>
    </row>
    <row r="162" spans="1:8" ht="13.2">
      <c r="A162" s="391" t="s">
        <v>455</v>
      </c>
      <c r="B162" s="331" t="s">
        <v>1069</v>
      </c>
      <c r="C162" s="186" t="s">
        <v>1321</v>
      </c>
      <c r="D162" s="195" t="s">
        <v>1322</v>
      </c>
      <c r="E162" s="107"/>
      <c r="F162" s="107"/>
      <c r="G162" s="115">
        <v>45246</v>
      </c>
      <c r="H162" s="107">
        <v>38</v>
      </c>
    </row>
    <row r="163" spans="1:8" ht="13.2">
      <c r="A163" s="391" t="s">
        <v>432</v>
      </c>
      <c r="B163" s="331" t="s">
        <v>1069</v>
      </c>
      <c r="C163" s="107" t="s">
        <v>1323</v>
      </c>
      <c r="D163" s="107" t="s">
        <v>1324</v>
      </c>
      <c r="E163" s="107"/>
      <c r="F163" s="107"/>
      <c r="G163" s="115">
        <v>45246</v>
      </c>
      <c r="H163" s="107">
        <v>49</v>
      </c>
    </row>
    <row r="164" spans="1:8" ht="13.2">
      <c r="A164" s="391" t="s">
        <v>432</v>
      </c>
      <c r="B164" s="331" t="s">
        <v>1069</v>
      </c>
      <c r="C164" s="107" t="s">
        <v>434</v>
      </c>
      <c r="D164" s="107" t="s">
        <v>437</v>
      </c>
      <c r="E164" s="107"/>
      <c r="F164" s="107"/>
      <c r="G164" s="115">
        <v>45246</v>
      </c>
      <c r="H164" s="107">
        <v>52</v>
      </c>
    </row>
    <row r="165" spans="1:8" ht="13.2">
      <c r="A165" s="391" t="s">
        <v>432</v>
      </c>
      <c r="B165" s="331" t="s">
        <v>1069</v>
      </c>
      <c r="C165" s="107" t="s">
        <v>1325</v>
      </c>
      <c r="D165" s="107" t="s">
        <v>1326</v>
      </c>
      <c r="E165" s="107"/>
      <c r="F165" s="107"/>
      <c r="G165" s="107"/>
      <c r="H165" s="107"/>
    </row>
    <row r="166" spans="1:8" ht="13.2">
      <c r="A166" s="391" t="s">
        <v>432</v>
      </c>
      <c r="B166" s="331" t="s">
        <v>1069</v>
      </c>
      <c r="C166" s="107" t="s">
        <v>1327</v>
      </c>
      <c r="D166" s="107" t="s">
        <v>1326</v>
      </c>
      <c r="E166" s="107"/>
      <c r="F166" s="107"/>
      <c r="G166" s="107"/>
      <c r="H166" s="107"/>
    </row>
    <row r="167" spans="1:8" ht="13.2">
      <c r="A167" s="391" t="s">
        <v>432</v>
      </c>
      <c r="B167" s="331" t="s">
        <v>1069</v>
      </c>
      <c r="C167" s="107" t="s">
        <v>1328</v>
      </c>
      <c r="D167" s="107"/>
      <c r="E167" s="107"/>
      <c r="F167" s="107"/>
      <c r="G167" s="107"/>
      <c r="H167" s="107"/>
    </row>
    <row r="168" spans="1:8" ht="13.2">
      <c r="A168" s="391" t="s">
        <v>462</v>
      </c>
      <c r="B168" s="331" t="s">
        <v>1069</v>
      </c>
      <c r="C168" s="109" t="s">
        <v>1329</v>
      </c>
      <c r="D168" s="331" t="s">
        <v>1330</v>
      </c>
      <c r="E168" s="107"/>
      <c r="F168" s="107"/>
      <c r="G168" s="107"/>
      <c r="H168" s="107"/>
    </row>
    <row r="169" spans="1:8" ht="13.2">
      <c r="A169" s="391" t="s">
        <v>462</v>
      </c>
      <c r="B169" s="331" t="s">
        <v>1069</v>
      </c>
      <c r="C169" s="109" t="s">
        <v>1331</v>
      </c>
      <c r="D169" s="331" t="s">
        <v>1332</v>
      </c>
      <c r="E169" s="107"/>
      <c r="F169" s="107"/>
      <c r="G169" s="107"/>
      <c r="H169" s="107"/>
    </row>
    <row r="170" spans="1:8" ht="13.2">
      <c r="A170" s="391" t="s">
        <v>462</v>
      </c>
      <c r="B170" s="331" t="s">
        <v>1069</v>
      </c>
      <c r="C170" s="109" t="s">
        <v>1333</v>
      </c>
      <c r="D170" s="331" t="s">
        <v>1334</v>
      </c>
      <c r="E170" s="107"/>
      <c r="F170" s="107"/>
      <c r="G170" s="107"/>
      <c r="H170" s="107"/>
    </row>
    <row r="171" spans="1:8" ht="13.2">
      <c r="A171" s="391" t="s">
        <v>462</v>
      </c>
      <c r="B171" s="331" t="s">
        <v>1069</v>
      </c>
      <c r="C171" s="109" t="s">
        <v>1335</v>
      </c>
      <c r="D171" s="331" t="s">
        <v>1336</v>
      </c>
      <c r="E171" s="109"/>
      <c r="F171" s="109"/>
      <c r="G171" s="138"/>
      <c r="H171" s="109"/>
    </row>
    <row r="172" spans="1:8" ht="13.2">
      <c r="A172" s="391" t="s">
        <v>462</v>
      </c>
      <c r="B172" s="331" t="s">
        <v>1069</v>
      </c>
      <c r="C172" s="107" t="s">
        <v>1337</v>
      </c>
      <c r="D172" s="331" t="s">
        <v>1338</v>
      </c>
      <c r="E172" s="406"/>
      <c r="F172" s="406"/>
      <c r="G172" s="406"/>
      <c r="H172" s="406"/>
    </row>
    <row r="173" spans="1:8" ht="13.2">
      <c r="A173" s="391" t="s">
        <v>462</v>
      </c>
      <c r="B173" s="331" t="s">
        <v>1069</v>
      </c>
      <c r="C173" s="107" t="s">
        <v>1339</v>
      </c>
      <c r="D173" s="121"/>
      <c r="E173" s="109"/>
      <c r="F173" s="109"/>
      <c r="G173" s="138"/>
      <c r="H173" s="109"/>
    </row>
    <row r="174" spans="1:8" ht="13.2">
      <c r="A174" s="391" t="s">
        <v>462</v>
      </c>
      <c r="B174" s="331" t="s">
        <v>1069</v>
      </c>
      <c r="C174" s="107" t="s">
        <v>463</v>
      </c>
      <c r="D174" s="121"/>
      <c r="E174" s="109"/>
      <c r="F174" s="109"/>
      <c r="G174" s="138"/>
      <c r="H174" s="109"/>
    </row>
    <row r="175" spans="1:8" ht="13.2">
      <c r="A175" s="391" t="s">
        <v>462</v>
      </c>
      <c r="B175" s="331" t="s">
        <v>1069</v>
      </c>
      <c r="C175" s="121"/>
      <c r="D175" s="121"/>
      <c r="E175" s="109"/>
      <c r="F175" s="109"/>
      <c r="G175" s="138"/>
      <c r="H175" s="109"/>
    </row>
    <row r="176" spans="1:8" ht="13.2">
      <c r="A176" s="391" t="s">
        <v>462</v>
      </c>
      <c r="B176" s="331" t="s">
        <v>1069</v>
      </c>
      <c r="C176" s="107"/>
      <c r="D176" s="107"/>
      <c r="E176" s="107"/>
      <c r="F176" s="107"/>
      <c r="G176" s="107"/>
      <c r="H176" s="107"/>
    </row>
    <row r="177" spans="1:8" ht="15.6">
      <c r="A177" s="391" t="s">
        <v>497</v>
      </c>
      <c r="B177" s="331" t="s">
        <v>1069</v>
      </c>
      <c r="C177" s="407"/>
      <c r="D177" s="407"/>
      <c r="E177" s="109"/>
      <c r="F177" s="109"/>
      <c r="G177" s="138"/>
      <c r="H177" s="109"/>
    </row>
    <row r="178" spans="1:8" ht="13.2">
      <c r="A178" s="391" t="s">
        <v>407</v>
      </c>
      <c r="B178" s="331" t="s">
        <v>1069</v>
      </c>
      <c r="C178" s="406"/>
      <c r="D178" s="406"/>
      <c r="E178" s="406"/>
      <c r="F178" s="406"/>
      <c r="G178" s="406"/>
      <c r="H178" s="406"/>
    </row>
    <row r="179" spans="1:8" ht="13.2">
      <c r="A179" s="391"/>
      <c r="B179" s="331" t="s">
        <v>1069</v>
      </c>
      <c r="C179" s="109"/>
      <c r="D179" s="109"/>
      <c r="E179" s="109"/>
      <c r="F179" s="109"/>
      <c r="G179" s="138"/>
      <c r="H179" s="109"/>
    </row>
    <row r="180" spans="1:8" ht="13.2">
      <c r="A180" s="391"/>
      <c r="B180" s="331" t="s">
        <v>1069</v>
      </c>
      <c r="C180" s="109"/>
      <c r="D180" s="109"/>
      <c r="E180" s="107"/>
      <c r="F180" s="109"/>
      <c r="G180" s="115"/>
      <c r="H180" s="107"/>
    </row>
    <row r="181" spans="1:8" ht="15.6">
      <c r="A181" s="391"/>
      <c r="B181" s="331" t="s">
        <v>1069</v>
      </c>
      <c r="C181" s="407"/>
      <c r="D181" s="407"/>
      <c r="E181" s="109"/>
      <c r="F181" s="109"/>
      <c r="G181" s="138"/>
      <c r="H181" s="109"/>
    </row>
    <row r="182" spans="1:8" ht="13.2">
      <c r="A182" s="391"/>
      <c r="B182" s="331" t="s">
        <v>1069</v>
      </c>
      <c r="C182" s="406"/>
      <c r="D182" s="406"/>
      <c r="E182" s="406"/>
      <c r="F182" s="406"/>
      <c r="G182" s="406"/>
      <c r="H182" s="406"/>
    </row>
    <row r="183" spans="1:8" ht="13.2">
      <c r="A183" s="391"/>
      <c r="B183" s="331" t="s">
        <v>1069</v>
      </c>
      <c r="C183" s="109"/>
      <c r="D183" s="109"/>
      <c r="E183" s="109"/>
      <c r="F183" s="109"/>
      <c r="G183" s="109"/>
      <c r="H183" s="109"/>
    </row>
    <row r="184" spans="1:8" ht="13.2">
      <c r="A184" s="391"/>
      <c r="B184" s="331" t="s">
        <v>1069</v>
      </c>
      <c r="C184" s="109"/>
      <c r="D184" s="109"/>
      <c r="E184" s="109"/>
      <c r="F184" s="109"/>
      <c r="G184" s="109"/>
      <c r="H184" s="109"/>
    </row>
    <row r="185" spans="1:8" ht="13.2">
      <c r="A185" s="391"/>
      <c r="B185" s="109" t="s">
        <v>1069</v>
      </c>
      <c r="C185" s="109"/>
      <c r="D185" s="109"/>
      <c r="E185" s="109"/>
      <c r="F185" s="109"/>
      <c r="G185" s="109"/>
      <c r="H185" s="109"/>
    </row>
    <row r="186" spans="1:8" ht="13.2">
      <c r="A186" s="391"/>
      <c r="B186" s="109" t="s">
        <v>1069</v>
      </c>
      <c r="C186" s="109"/>
      <c r="D186" s="109"/>
      <c r="E186" s="109"/>
      <c r="F186" s="109"/>
      <c r="G186" s="109"/>
      <c r="H186" s="109"/>
    </row>
    <row r="187" spans="1:8" ht="13.2">
      <c r="A187" s="391"/>
      <c r="B187" s="109" t="s">
        <v>1069</v>
      </c>
      <c r="C187" s="109"/>
      <c r="D187" s="109"/>
      <c r="E187" s="109"/>
      <c r="F187" s="109"/>
      <c r="G187" s="109"/>
      <c r="H187" s="109"/>
    </row>
    <row r="188" spans="1:8" ht="13.2">
      <c r="A188" s="391"/>
      <c r="B188" s="109" t="s">
        <v>1069</v>
      </c>
      <c r="C188" s="109"/>
      <c r="D188" s="109"/>
      <c r="E188" s="109"/>
      <c r="F188" s="109"/>
      <c r="G188" s="109"/>
      <c r="H188" s="109"/>
    </row>
    <row r="189" spans="1:8" ht="13.2">
      <c r="A189" s="391"/>
      <c r="B189" s="109" t="s">
        <v>1069</v>
      </c>
      <c r="C189" s="109"/>
      <c r="D189" s="109"/>
      <c r="E189" s="109"/>
      <c r="F189" s="109"/>
      <c r="G189" s="109"/>
      <c r="H189" s="109"/>
    </row>
    <row r="190" spans="1:8" ht="13.2">
      <c r="A190" s="391"/>
      <c r="B190" s="109" t="s">
        <v>1069</v>
      </c>
      <c r="C190" s="109"/>
      <c r="D190" s="109"/>
      <c r="E190" s="109"/>
      <c r="F190" s="109"/>
      <c r="G190" s="109"/>
      <c r="H190" s="109"/>
    </row>
    <row r="191" spans="1:8" ht="13.2">
      <c r="A191" s="85"/>
      <c r="B191" s="85"/>
      <c r="C191" s="85"/>
      <c r="D191" s="85"/>
      <c r="E191" s="148"/>
      <c r="F191" s="85"/>
      <c r="G191" s="408"/>
      <c r="H191" s="85"/>
    </row>
    <row r="192" spans="1:8" ht="16.8">
      <c r="A192" s="85"/>
      <c r="B192" s="409"/>
      <c r="C192" s="409"/>
      <c r="D192" s="409"/>
      <c r="E192" s="85"/>
      <c r="F192" s="85"/>
      <c r="G192" s="85"/>
      <c r="H192" s="84"/>
    </row>
    <row r="193" spans="1:8" ht="13.2">
      <c r="A193" s="84"/>
      <c r="B193" s="84"/>
      <c r="C193" s="84"/>
      <c r="D193" s="84"/>
      <c r="E193" s="84"/>
      <c r="F193" s="84"/>
      <c r="G193" s="84"/>
      <c r="H193" s="84"/>
    </row>
    <row r="194" spans="1:8" ht="16.8">
      <c r="A194" s="85"/>
      <c r="B194" s="409"/>
      <c r="C194" s="474"/>
      <c r="D194" s="459"/>
      <c r="E194" s="85"/>
      <c r="F194" s="85"/>
      <c r="G194" s="85"/>
      <c r="H194" s="85"/>
    </row>
    <row r="195" spans="1:8" ht="13.2">
      <c r="A195" s="85"/>
      <c r="B195" s="85"/>
      <c r="C195" s="85"/>
      <c r="D195" s="85"/>
      <c r="E195" s="85"/>
      <c r="F195" s="85"/>
      <c r="G195" s="408"/>
      <c r="H195" s="85"/>
    </row>
    <row r="196" spans="1:8" ht="13.2">
      <c r="A196" s="410"/>
      <c r="B196" s="410"/>
      <c r="C196" s="410"/>
      <c r="D196" s="410"/>
      <c r="E196" s="410"/>
      <c r="F196" s="410"/>
      <c r="G196" s="410"/>
      <c r="H196" s="410"/>
    </row>
    <row r="197" spans="1:8" ht="13.2">
      <c r="A197" s="411"/>
      <c r="B197" s="148"/>
      <c r="C197" s="148"/>
      <c r="D197" s="148"/>
      <c r="E197" s="148"/>
      <c r="F197" s="85"/>
      <c r="G197" s="412"/>
      <c r="H197" s="475"/>
    </row>
    <row r="198" spans="1:8" ht="13.2">
      <c r="A198" s="411"/>
      <c r="B198" s="148"/>
      <c r="C198" s="148"/>
      <c r="D198" s="148"/>
      <c r="E198" s="148"/>
      <c r="F198" s="85"/>
      <c r="G198" s="412"/>
      <c r="H198" s="459"/>
    </row>
    <row r="199" spans="1:8" ht="13.2">
      <c r="A199" s="411"/>
      <c r="B199" s="148"/>
      <c r="C199" s="148"/>
      <c r="D199" s="148"/>
      <c r="E199" s="148"/>
      <c r="F199" s="85"/>
      <c r="G199" s="412"/>
      <c r="H199" s="413"/>
    </row>
    <row r="200" spans="1:8" ht="13.2">
      <c r="A200" s="411"/>
      <c r="B200" s="148"/>
      <c r="C200" s="148"/>
      <c r="D200" s="148"/>
      <c r="E200" s="148"/>
      <c r="F200" s="85"/>
      <c r="G200" s="413"/>
      <c r="H200" s="85"/>
    </row>
    <row r="201" spans="1:8" ht="13.2">
      <c r="A201" s="411"/>
      <c r="B201" s="148"/>
      <c r="C201" s="148"/>
      <c r="D201" s="148"/>
      <c r="E201" s="148"/>
      <c r="F201" s="85"/>
      <c r="G201" s="413"/>
      <c r="H201" s="85"/>
    </row>
    <row r="202" spans="1:8" ht="13.2">
      <c r="A202" s="85"/>
      <c r="B202" s="85"/>
      <c r="C202" s="85"/>
      <c r="D202" s="85"/>
      <c r="E202" s="85"/>
      <c r="F202" s="85"/>
      <c r="G202" s="85"/>
      <c r="H202" s="85"/>
    </row>
    <row r="203" spans="1:8" ht="16.8">
      <c r="A203" s="85"/>
      <c r="B203" s="409"/>
      <c r="C203" s="474"/>
      <c r="D203" s="459"/>
      <c r="E203" s="85"/>
      <c r="F203" s="85"/>
      <c r="G203" s="85"/>
      <c r="H203" s="85"/>
    </row>
    <row r="204" spans="1:8" ht="13.2">
      <c r="A204" s="85"/>
      <c r="B204" s="85"/>
      <c r="C204" s="85"/>
      <c r="D204" s="85"/>
      <c r="E204" s="85"/>
      <c r="F204" s="85"/>
      <c r="G204" s="408"/>
      <c r="H204" s="85"/>
    </row>
    <row r="205" spans="1:8" ht="13.2">
      <c r="A205" s="410"/>
      <c r="B205" s="410"/>
      <c r="C205" s="410"/>
      <c r="D205" s="410"/>
      <c r="E205" s="410"/>
      <c r="F205" s="410"/>
      <c r="G205" s="410"/>
      <c r="H205" s="410"/>
    </row>
    <row r="206" spans="1:8" ht="13.2">
      <c r="A206" s="411"/>
      <c r="B206" s="85"/>
      <c r="C206" s="85"/>
      <c r="D206" s="85"/>
      <c r="E206" s="148"/>
      <c r="F206" s="85"/>
      <c r="G206" s="412"/>
      <c r="H206" s="413"/>
    </row>
    <row r="207" spans="1:8" ht="13.2">
      <c r="A207" s="411"/>
      <c r="B207" s="85"/>
      <c r="C207" s="85"/>
      <c r="D207" s="85"/>
      <c r="E207" s="148"/>
      <c r="F207" s="85"/>
      <c r="G207" s="412"/>
      <c r="H207" s="413"/>
    </row>
    <row r="208" spans="1:8" ht="13.2">
      <c r="A208" s="411"/>
      <c r="B208" s="85"/>
      <c r="C208" s="85"/>
      <c r="D208" s="85"/>
      <c r="E208" s="148"/>
      <c r="F208" s="85"/>
      <c r="G208" s="413"/>
      <c r="H208" s="85"/>
    </row>
    <row r="209" spans="1:8" ht="13.2">
      <c r="A209" s="414"/>
      <c r="B209" s="85"/>
      <c r="C209" s="85"/>
      <c r="D209" s="85"/>
      <c r="E209" s="148"/>
      <c r="F209" s="85"/>
      <c r="G209" s="413"/>
      <c r="H209" s="85"/>
    </row>
    <row r="210" spans="1:8" ht="13.2">
      <c r="A210" s="414"/>
      <c r="B210" s="85"/>
      <c r="C210" s="85"/>
      <c r="D210" s="148"/>
      <c r="E210" s="148"/>
      <c r="F210" s="85"/>
      <c r="G210" s="413"/>
      <c r="H210" s="85"/>
    </row>
    <row r="211" spans="1:8" ht="13.2">
      <c r="A211" s="84"/>
      <c r="B211" s="84"/>
      <c r="C211" s="84"/>
      <c r="D211" s="84"/>
      <c r="E211" s="84"/>
      <c r="F211" s="84"/>
      <c r="G211" s="84"/>
      <c r="H211" s="84"/>
    </row>
    <row r="212" spans="1:8" ht="16.8">
      <c r="A212" s="85"/>
      <c r="B212" s="409"/>
      <c r="C212" s="474"/>
      <c r="D212" s="459"/>
      <c r="E212" s="85"/>
      <c r="F212" s="85"/>
      <c r="G212" s="85"/>
      <c r="H212" s="85"/>
    </row>
    <row r="213" spans="1:8" ht="13.2">
      <c r="A213" s="85"/>
      <c r="B213" s="85"/>
      <c r="C213" s="85"/>
      <c r="D213" s="85"/>
      <c r="E213" s="85"/>
      <c r="F213" s="85"/>
      <c r="G213" s="408"/>
      <c r="H213" s="85"/>
    </row>
    <row r="214" spans="1:8" ht="13.2">
      <c r="A214" s="410"/>
      <c r="B214" s="410"/>
      <c r="C214" s="410"/>
      <c r="D214" s="410"/>
      <c r="E214" s="410"/>
      <c r="F214" s="410"/>
      <c r="G214" s="410"/>
      <c r="H214" s="410"/>
    </row>
    <row r="215" spans="1:8" ht="13.2">
      <c r="A215" s="411"/>
      <c r="B215" s="85"/>
      <c r="C215" s="85"/>
      <c r="D215" s="85"/>
      <c r="E215" s="148"/>
      <c r="F215" s="85"/>
      <c r="G215" s="408"/>
      <c r="H215" s="85"/>
    </row>
    <row r="216" spans="1:8" ht="13.2">
      <c r="A216" s="411"/>
      <c r="B216" s="85"/>
      <c r="C216" s="85"/>
      <c r="D216" s="85"/>
      <c r="E216" s="148"/>
      <c r="F216" s="85"/>
      <c r="G216" s="408"/>
      <c r="H216" s="85"/>
    </row>
    <row r="217" spans="1:8" ht="13.2">
      <c r="A217" s="411"/>
      <c r="B217" s="85"/>
      <c r="C217" s="85"/>
      <c r="D217" s="85"/>
      <c r="E217" s="148"/>
      <c r="F217" s="85"/>
      <c r="G217" s="85"/>
      <c r="H217" s="85"/>
    </row>
    <row r="218" spans="1:8" ht="13.2">
      <c r="A218" s="411"/>
      <c r="B218" s="85"/>
      <c r="C218" s="85"/>
      <c r="D218" s="85"/>
      <c r="E218" s="148"/>
      <c r="F218" s="85"/>
      <c r="G218" s="85"/>
      <c r="H218" s="85"/>
    </row>
    <row r="219" spans="1:8" ht="13.2">
      <c r="A219" s="411"/>
      <c r="B219" s="85"/>
      <c r="C219" s="85"/>
      <c r="D219" s="85"/>
      <c r="E219" s="148"/>
      <c r="F219" s="85"/>
      <c r="G219" s="85"/>
      <c r="H219" s="85"/>
    </row>
    <row r="220" spans="1:8" ht="13.2">
      <c r="A220" s="411"/>
      <c r="B220" s="85"/>
      <c r="C220" s="85"/>
      <c r="D220" s="85"/>
      <c r="E220" s="148"/>
      <c r="F220" s="85"/>
      <c r="G220" s="85"/>
      <c r="H220" s="85"/>
    </row>
    <row r="221" spans="1:8" ht="13.2">
      <c r="A221" s="411"/>
      <c r="B221" s="85"/>
      <c r="C221" s="85"/>
      <c r="D221" s="85"/>
      <c r="E221" s="148"/>
      <c r="F221" s="85"/>
      <c r="G221" s="85"/>
      <c r="H221" s="85"/>
    </row>
    <row r="222" spans="1:8" ht="13.2">
      <c r="A222" s="85"/>
      <c r="B222" s="85"/>
      <c r="C222" s="85"/>
      <c r="D222" s="85"/>
      <c r="E222" s="85"/>
      <c r="F222" s="85"/>
      <c r="G222" s="85"/>
      <c r="H222" s="85"/>
    </row>
    <row r="223" spans="1:8" ht="16.8">
      <c r="A223" s="85"/>
      <c r="B223" s="409"/>
      <c r="C223" s="474"/>
      <c r="D223" s="459"/>
      <c r="E223" s="85"/>
      <c r="F223" s="85"/>
      <c r="G223" s="85"/>
      <c r="H223" s="85"/>
    </row>
    <row r="224" spans="1:8" ht="16.8">
      <c r="A224" s="85"/>
      <c r="B224" s="409"/>
      <c r="C224" s="409"/>
      <c r="D224" s="409"/>
      <c r="E224" s="85"/>
      <c r="F224" s="85"/>
      <c r="G224" s="85"/>
      <c r="H224" s="85"/>
    </row>
    <row r="225" spans="1:9" ht="13.2">
      <c r="A225" s="85"/>
      <c r="B225" s="410"/>
      <c r="C225" s="410"/>
      <c r="D225" s="410"/>
      <c r="E225" s="410"/>
      <c r="F225" s="410"/>
      <c r="G225" s="410"/>
      <c r="H225" s="410"/>
    </row>
    <row r="226" spans="1:9" ht="13.2">
      <c r="A226" s="85"/>
      <c r="B226" s="85"/>
      <c r="C226" s="85"/>
      <c r="D226" s="85"/>
      <c r="E226" s="148"/>
      <c r="F226" s="85"/>
      <c r="G226" s="408"/>
      <c r="H226" s="85"/>
    </row>
    <row r="227" spans="1:9" ht="13.2">
      <c r="A227" s="85"/>
      <c r="B227" s="85"/>
      <c r="C227" s="85"/>
      <c r="D227" s="85"/>
      <c r="E227" s="148"/>
      <c r="F227" s="85"/>
      <c r="G227" s="408"/>
      <c r="H227" s="85"/>
    </row>
    <row r="228" spans="1:9" ht="13.2">
      <c r="A228" s="85"/>
      <c r="B228" s="85"/>
      <c r="C228" s="85"/>
      <c r="D228" s="85"/>
      <c r="E228" s="148"/>
      <c r="F228" s="85"/>
      <c r="G228" s="85"/>
      <c r="H228" s="85"/>
    </row>
    <row r="229" spans="1:9" ht="13.2">
      <c r="A229" s="85"/>
      <c r="B229" s="85"/>
      <c r="C229" s="85"/>
      <c r="D229" s="85"/>
      <c r="E229" s="148"/>
      <c r="F229" s="85"/>
      <c r="G229" s="85"/>
      <c r="H229" s="85"/>
    </row>
    <row r="230" spans="1:9" ht="16.8">
      <c r="A230" s="85"/>
      <c r="B230" s="415"/>
      <c r="C230" s="476"/>
      <c r="D230" s="459"/>
      <c r="E230" s="148"/>
      <c r="F230" s="85"/>
      <c r="G230" s="85"/>
      <c r="H230" s="85"/>
    </row>
    <row r="231" spans="1:9" ht="13.2">
      <c r="A231" s="85"/>
      <c r="B231" s="85"/>
      <c r="C231" s="85"/>
      <c r="D231" s="85"/>
      <c r="E231" s="148"/>
      <c r="F231" s="85"/>
      <c r="G231" s="85"/>
      <c r="H231" s="85"/>
    </row>
    <row r="232" spans="1:9" ht="13.2">
      <c r="A232" s="85"/>
      <c r="B232" s="410"/>
      <c r="C232" s="410"/>
      <c r="D232" s="410"/>
      <c r="E232" s="410"/>
      <c r="F232" s="410"/>
      <c r="G232" s="410"/>
      <c r="H232" s="410"/>
    </row>
    <row r="233" spans="1:9" ht="13.2">
      <c r="A233" s="85"/>
      <c r="B233" s="85"/>
      <c r="C233" s="85"/>
      <c r="D233" s="85"/>
      <c r="E233" s="148"/>
      <c r="F233" s="85"/>
      <c r="G233" s="408"/>
      <c r="H233" s="85"/>
    </row>
    <row r="234" spans="1:9" ht="13.2">
      <c r="A234" s="85"/>
      <c r="B234" s="85"/>
      <c r="C234" s="85"/>
      <c r="D234" s="85"/>
      <c r="E234" s="148"/>
      <c r="F234" s="85"/>
      <c r="G234" s="408"/>
      <c r="H234" s="85"/>
    </row>
    <row r="235" spans="1:9" ht="13.2">
      <c r="A235" s="85"/>
      <c r="B235" s="85"/>
      <c r="C235" s="85"/>
      <c r="D235" s="85"/>
      <c r="E235" s="148"/>
      <c r="F235" s="85"/>
      <c r="G235" s="85"/>
      <c r="H235" s="85"/>
    </row>
    <row r="236" spans="1:9" ht="13.2">
      <c r="A236" s="85"/>
      <c r="B236" s="85"/>
      <c r="C236" s="85"/>
      <c r="D236" s="85"/>
      <c r="E236" s="148"/>
      <c r="F236" s="85"/>
      <c r="G236" s="85"/>
      <c r="H236" s="85"/>
      <c r="I236" s="416"/>
    </row>
    <row r="237" spans="1:9" ht="16.8">
      <c r="A237" s="85"/>
      <c r="B237" s="409"/>
      <c r="C237" s="474"/>
      <c r="D237" s="459"/>
      <c r="E237" s="85"/>
      <c r="F237" s="85"/>
      <c r="G237" s="85"/>
      <c r="H237" s="85"/>
      <c r="I237" s="416"/>
    </row>
    <row r="238" spans="1:9" ht="13.2">
      <c r="A238" s="410"/>
      <c r="B238" s="410"/>
      <c r="C238" s="410"/>
      <c r="D238" s="410"/>
      <c r="E238" s="410"/>
      <c r="F238" s="410"/>
      <c r="G238" s="410"/>
      <c r="H238" s="410"/>
      <c r="I238" s="416"/>
    </row>
    <row r="239" spans="1:9" ht="13.2">
      <c r="A239" s="411"/>
      <c r="B239" s="85"/>
      <c r="C239" s="85"/>
      <c r="D239" s="85"/>
      <c r="E239" s="148"/>
      <c r="F239" s="413"/>
      <c r="G239" s="412"/>
      <c r="H239" s="413"/>
      <c r="I239" s="416"/>
    </row>
    <row r="240" spans="1:9" ht="13.2">
      <c r="A240" s="411"/>
      <c r="B240" s="148"/>
      <c r="C240" s="148"/>
      <c r="D240" s="148"/>
      <c r="E240" s="148"/>
      <c r="F240" s="413"/>
      <c r="G240" s="413"/>
      <c r="H240" s="85"/>
      <c r="I240" s="416"/>
    </row>
    <row r="241" spans="1:9" ht="13.2">
      <c r="A241" s="411"/>
      <c r="B241" s="148"/>
      <c r="C241" s="148"/>
      <c r="D241" s="148"/>
      <c r="E241" s="148"/>
      <c r="F241" s="85"/>
      <c r="G241" s="412"/>
      <c r="H241" s="413"/>
      <c r="I241" s="416"/>
    </row>
    <row r="242" spans="1:9" ht="13.2">
      <c r="A242" s="411"/>
      <c r="B242" s="148"/>
      <c r="C242" s="148"/>
      <c r="D242" s="148"/>
      <c r="E242" s="148"/>
      <c r="F242" s="85"/>
      <c r="G242" s="413"/>
      <c r="H242" s="85"/>
      <c r="I242" s="416"/>
    </row>
    <row r="243" spans="1:9" ht="16.8">
      <c r="A243" s="411"/>
      <c r="B243" s="417"/>
      <c r="C243" s="479"/>
      <c r="D243" s="459"/>
      <c r="E243" s="148"/>
      <c r="F243" s="85"/>
      <c r="G243" s="413"/>
      <c r="H243" s="85"/>
      <c r="I243" s="416"/>
    </row>
    <row r="244" spans="1:9" ht="13.2">
      <c r="A244" s="411"/>
      <c r="B244" s="410"/>
      <c r="C244" s="410"/>
      <c r="D244" s="410"/>
      <c r="E244" s="410"/>
      <c r="F244" s="410"/>
      <c r="G244" s="410"/>
      <c r="H244" s="410"/>
      <c r="I244" s="416"/>
    </row>
    <row r="245" spans="1:9" ht="13.2">
      <c r="A245" s="85"/>
      <c r="B245" s="85"/>
      <c r="C245" s="85"/>
      <c r="D245" s="85"/>
      <c r="E245" s="85"/>
      <c r="F245" s="85"/>
      <c r="G245" s="85"/>
      <c r="H245" s="85"/>
      <c r="I245" s="416"/>
    </row>
    <row r="246" spans="1:9" ht="16.8">
      <c r="A246" s="85"/>
      <c r="B246" s="409"/>
      <c r="C246" s="409"/>
      <c r="D246" s="409"/>
      <c r="E246" s="85"/>
      <c r="F246" s="85"/>
      <c r="G246" s="85"/>
      <c r="H246" s="85"/>
      <c r="I246" s="416"/>
    </row>
    <row r="247" spans="1:9" ht="13.2">
      <c r="A247" s="85"/>
      <c r="B247" s="85"/>
      <c r="C247" s="85"/>
      <c r="D247" s="85"/>
      <c r="E247" s="85"/>
      <c r="F247" s="85"/>
      <c r="G247" s="408"/>
      <c r="H247" s="85"/>
      <c r="I247" s="416"/>
    </row>
    <row r="248" spans="1:9" ht="13.2">
      <c r="A248" s="410"/>
      <c r="B248" s="410"/>
      <c r="C248" s="410"/>
      <c r="D248" s="410"/>
      <c r="E248" s="410"/>
      <c r="F248" s="410"/>
      <c r="G248" s="410"/>
      <c r="H248" s="410"/>
      <c r="I248" s="416"/>
    </row>
    <row r="249" spans="1:9" ht="13.2">
      <c r="A249" s="411"/>
      <c r="B249" s="85"/>
      <c r="C249" s="85"/>
      <c r="D249" s="85"/>
      <c r="E249" s="148"/>
      <c r="F249" s="85"/>
      <c r="G249" s="412"/>
      <c r="H249" s="413"/>
      <c r="I249" s="416"/>
    </row>
    <row r="250" spans="1:9" ht="13.2">
      <c r="A250" s="411"/>
      <c r="B250" s="148"/>
      <c r="C250" s="148"/>
      <c r="D250" s="148"/>
      <c r="E250" s="148"/>
      <c r="F250" s="85"/>
      <c r="G250" s="412"/>
      <c r="H250" s="413"/>
      <c r="I250" s="416"/>
    </row>
    <row r="251" spans="1:9" ht="13.2">
      <c r="A251" s="411"/>
      <c r="B251" s="148"/>
      <c r="C251" s="148"/>
      <c r="D251" s="148"/>
      <c r="E251" s="148"/>
      <c r="F251" s="148"/>
      <c r="G251" s="412"/>
      <c r="H251" s="413"/>
      <c r="I251" s="416"/>
    </row>
    <row r="252" spans="1:9" ht="13.2">
      <c r="A252" s="411"/>
      <c r="B252" s="148"/>
      <c r="C252" s="148"/>
      <c r="D252" s="148"/>
      <c r="E252" s="148"/>
      <c r="F252" s="85"/>
      <c r="G252" s="413"/>
      <c r="H252" s="85"/>
      <c r="I252" s="416"/>
    </row>
    <row r="253" spans="1:9" ht="13.2">
      <c r="A253" s="411"/>
      <c r="B253" s="148"/>
      <c r="C253" s="148"/>
      <c r="D253" s="148"/>
      <c r="E253" s="148"/>
      <c r="F253" s="85"/>
      <c r="G253" s="413"/>
      <c r="H253" s="85"/>
      <c r="I253" s="416"/>
    </row>
    <row r="254" spans="1:9" ht="13.2">
      <c r="A254" s="85"/>
      <c r="B254" s="85"/>
      <c r="C254" s="85"/>
      <c r="D254" s="85"/>
      <c r="E254" s="85"/>
      <c r="F254" s="85"/>
      <c r="G254" s="85"/>
      <c r="H254" s="85"/>
      <c r="I254" s="416"/>
    </row>
    <row r="255" spans="1:9" ht="13.2">
      <c r="A255" s="411"/>
      <c r="B255" s="85"/>
      <c r="C255" s="85"/>
      <c r="D255" s="85"/>
      <c r="E255" s="85"/>
      <c r="F255" s="85"/>
      <c r="G255" s="85"/>
      <c r="H255" s="85"/>
    </row>
    <row r="256" spans="1:9" ht="13.2">
      <c r="A256" s="85"/>
      <c r="B256" s="85"/>
      <c r="C256" s="85"/>
      <c r="D256" s="85"/>
      <c r="E256" s="85"/>
      <c r="F256" s="85"/>
      <c r="G256" s="85"/>
      <c r="H256" s="85"/>
      <c r="I256" s="416"/>
    </row>
    <row r="257" spans="1:9" ht="16.8">
      <c r="A257" s="85"/>
      <c r="B257" s="409"/>
      <c r="C257" s="474"/>
      <c r="D257" s="459"/>
      <c r="E257" s="85"/>
      <c r="F257" s="85"/>
      <c r="G257" s="85"/>
      <c r="H257" s="85"/>
      <c r="I257" s="416"/>
    </row>
    <row r="258" spans="1:9" ht="13.2">
      <c r="A258" s="85"/>
      <c r="B258" s="85"/>
      <c r="C258" s="85"/>
      <c r="D258" s="85"/>
      <c r="E258" s="85"/>
      <c r="F258" s="85"/>
      <c r="G258" s="408"/>
      <c r="H258" s="85"/>
      <c r="I258" s="416"/>
    </row>
    <row r="259" spans="1:9" ht="13.2">
      <c r="A259" s="410"/>
      <c r="B259" s="410"/>
      <c r="C259" s="410"/>
      <c r="D259" s="410"/>
      <c r="E259" s="410"/>
      <c r="F259" s="410"/>
      <c r="G259" s="410"/>
      <c r="H259" s="410"/>
      <c r="I259" s="416"/>
    </row>
    <row r="260" spans="1:9" ht="13.2">
      <c r="A260" s="411"/>
      <c r="B260" s="148"/>
      <c r="C260" s="148"/>
      <c r="D260" s="148"/>
      <c r="E260" s="148"/>
      <c r="F260" s="413"/>
      <c r="G260" s="413"/>
      <c r="H260" s="85"/>
      <c r="I260" s="416"/>
    </row>
    <row r="261" spans="1:9" ht="13.2">
      <c r="A261" s="85"/>
      <c r="B261" s="148"/>
      <c r="C261" s="148"/>
      <c r="D261" s="148"/>
      <c r="E261" s="148"/>
      <c r="F261" s="85"/>
      <c r="G261" s="85"/>
      <c r="H261" s="85"/>
      <c r="I261" s="416"/>
    </row>
    <row r="262" spans="1:9" ht="16.8">
      <c r="A262" s="85"/>
      <c r="B262" s="409"/>
      <c r="C262" s="474"/>
      <c r="D262" s="459"/>
      <c r="E262" s="85"/>
      <c r="F262" s="85"/>
      <c r="G262" s="85"/>
      <c r="H262" s="85"/>
      <c r="I262" s="416"/>
    </row>
    <row r="263" spans="1:9" ht="13.2">
      <c r="A263" s="85"/>
      <c r="B263" s="85"/>
      <c r="C263" s="85"/>
      <c r="D263" s="85"/>
      <c r="E263" s="85"/>
      <c r="F263" s="85"/>
      <c r="G263" s="408"/>
      <c r="H263" s="85"/>
      <c r="I263" s="416"/>
    </row>
    <row r="264" spans="1:9" ht="13.2">
      <c r="A264" s="410"/>
      <c r="B264" s="410"/>
      <c r="C264" s="410"/>
      <c r="D264" s="410"/>
      <c r="E264" s="410"/>
      <c r="F264" s="410"/>
      <c r="G264" s="410"/>
      <c r="H264" s="410"/>
      <c r="I264" s="416"/>
    </row>
    <row r="265" spans="1:9" ht="13.2">
      <c r="A265" s="411"/>
      <c r="B265" s="148"/>
      <c r="C265" s="148"/>
      <c r="D265" s="148"/>
      <c r="E265" s="148"/>
      <c r="F265" s="413"/>
      <c r="G265" s="413"/>
      <c r="H265" s="85"/>
      <c r="I265" s="416"/>
    </row>
    <row r="266" spans="1:9" ht="13.2">
      <c r="A266" s="411"/>
      <c r="B266" s="148"/>
      <c r="C266" s="148"/>
      <c r="D266" s="148"/>
      <c r="E266" s="148"/>
      <c r="F266" s="85"/>
      <c r="G266" s="85"/>
      <c r="H266" s="85"/>
      <c r="I266" s="416"/>
    </row>
    <row r="267" spans="1:9" ht="13.2">
      <c r="A267" s="85"/>
      <c r="B267" s="148"/>
      <c r="C267" s="148"/>
      <c r="D267" s="148"/>
      <c r="E267" s="148"/>
      <c r="F267" s="85"/>
      <c r="G267" s="85"/>
      <c r="H267" s="85"/>
      <c r="I267" s="416"/>
    </row>
    <row r="268" spans="1:9" ht="16.8">
      <c r="A268" s="85"/>
      <c r="B268" s="409"/>
      <c r="C268" s="474"/>
      <c r="D268" s="459"/>
      <c r="E268" s="85"/>
      <c r="F268" s="85"/>
      <c r="G268" s="85"/>
      <c r="H268" s="85"/>
      <c r="I268" s="416"/>
    </row>
    <row r="269" spans="1:9" ht="13.2">
      <c r="A269" s="85"/>
      <c r="B269" s="85"/>
      <c r="C269" s="85"/>
      <c r="D269" s="85"/>
      <c r="E269" s="85"/>
      <c r="F269" s="85"/>
      <c r="G269" s="408"/>
      <c r="H269" s="85"/>
      <c r="I269" s="416"/>
    </row>
    <row r="270" spans="1:9" ht="15.6">
      <c r="A270" s="85"/>
      <c r="B270" s="418"/>
      <c r="C270" s="477"/>
      <c r="D270" s="459"/>
      <c r="E270" s="85"/>
      <c r="F270" s="85"/>
      <c r="G270" s="408"/>
      <c r="H270" s="85"/>
      <c r="I270" s="416"/>
    </row>
    <row r="271" spans="1:9" ht="13.2">
      <c r="A271" s="410"/>
      <c r="B271" s="410"/>
      <c r="C271" s="410"/>
      <c r="D271" s="410"/>
      <c r="E271" s="410"/>
      <c r="F271" s="410"/>
      <c r="G271" s="410"/>
      <c r="H271" s="410"/>
      <c r="I271" s="416"/>
    </row>
    <row r="272" spans="1:9" ht="13.2">
      <c r="A272" s="411"/>
      <c r="B272" s="85"/>
      <c r="C272" s="85"/>
      <c r="D272" s="85"/>
      <c r="E272" s="148"/>
      <c r="F272" s="85"/>
      <c r="G272" s="412"/>
      <c r="H272" s="85"/>
      <c r="I272" s="416"/>
    </row>
    <row r="273" spans="1:9" ht="13.2">
      <c r="A273" s="411"/>
      <c r="B273" s="85"/>
      <c r="C273" s="85"/>
      <c r="D273" s="85"/>
      <c r="E273" s="148"/>
      <c r="F273" s="85"/>
      <c r="G273" s="408"/>
      <c r="H273" s="85"/>
      <c r="I273" s="416"/>
    </row>
    <row r="274" spans="1:9" ht="13.2">
      <c r="A274" s="85"/>
      <c r="B274" s="85"/>
      <c r="C274" s="85"/>
      <c r="D274" s="148"/>
      <c r="E274" s="148"/>
      <c r="F274" s="85"/>
      <c r="G274" s="85"/>
      <c r="H274" s="85"/>
      <c r="I274" s="416"/>
    </row>
    <row r="275" spans="1:9" ht="15.6">
      <c r="A275" s="85"/>
      <c r="B275" s="418"/>
      <c r="C275" s="477"/>
      <c r="D275" s="459"/>
      <c r="E275" s="85"/>
      <c r="F275" s="85"/>
      <c r="G275" s="408"/>
      <c r="H275" s="85"/>
      <c r="I275" s="416"/>
    </row>
    <row r="276" spans="1:9" ht="13.2">
      <c r="A276" s="410"/>
      <c r="B276" s="410"/>
      <c r="C276" s="410"/>
      <c r="D276" s="410"/>
      <c r="E276" s="410"/>
      <c r="F276" s="410"/>
      <c r="G276" s="410"/>
      <c r="H276" s="410"/>
      <c r="I276" s="416"/>
    </row>
    <row r="277" spans="1:9" ht="13.2">
      <c r="A277" s="411"/>
      <c r="B277" s="419"/>
      <c r="C277" s="419"/>
      <c r="D277" s="419"/>
      <c r="E277" s="148"/>
      <c r="F277" s="85"/>
      <c r="G277" s="412"/>
      <c r="H277" s="85"/>
      <c r="I277" s="416"/>
    </row>
    <row r="278" spans="1:9" ht="13.2">
      <c r="A278" s="411"/>
      <c r="B278" s="419"/>
      <c r="C278" s="419"/>
      <c r="D278" s="419"/>
      <c r="E278" s="148"/>
      <c r="F278" s="85"/>
      <c r="G278" s="412"/>
      <c r="H278" s="413"/>
      <c r="I278" s="416"/>
    </row>
    <row r="279" spans="1:9" ht="13.2">
      <c r="A279" s="411"/>
      <c r="B279" s="419"/>
      <c r="C279" s="419"/>
      <c r="D279" s="419"/>
      <c r="E279" s="85"/>
      <c r="F279" s="85"/>
      <c r="G279" s="412"/>
      <c r="H279" s="85"/>
      <c r="I279" s="416"/>
    </row>
    <row r="280" spans="1:9" ht="13.2">
      <c r="A280" s="85"/>
      <c r="B280" s="85"/>
      <c r="C280" s="85"/>
      <c r="D280" s="85"/>
      <c r="E280" s="85"/>
      <c r="F280" s="85"/>
      <c r="G280" s="85"/>
      <c r="H280" s="85"/>
      <c r="I280" s="416"/>
    </row>
    <row r="281" spans="1:9" ht="15.6">
      <c r="A281" s="85"/>
      <c r="B281" s="418"/>
      <c r="C281" s="477"/>
      <c r="D281" s="459"/>
      <c r="E281" s="85"/>
      <c r="F281" s="85"/>
      <c r="G281" s="408"/>
      <c r="H281" s="85"/>
      <c r="I281" s="416"/>
    </row>
    <row r="282" spans="1:9" ht="13.2">
      <c r="A282" s="410"/>
      <c r="B282" s="410"/>
      <c r="C282" s="410"/>
      <c r="D282" s="410"/>
      <c r="E282" s="410"/>
      <c r="F282" s="410"/>
      <c r="G282" s="410"/>
      <c r="H282" s="410"/>
      <c r="I282" s="416"/>
    </row>
    <row r="283" spans="1:9" ht="13.2">
      <c r="A283" s="411"/>
      <c r="B283" s="85"/>
      <c r="C283" s="85"/>
      <c r="D283" s="85"/>
      <c r="E283" s="148"/>
      <c r="F283" s="85"/>
      <c r="G283" s="412"/>
      <c r="H283" s="413"/>
      <c r="I283" s="416"/>
    </row>
    <row r="284" spans="1:9" ht="13.2">
      <c r="A284" s="85"/>
      <c r="B284" s="85"/>
      <c r="C284" s="85"/>
      <c r="D284" s="85"/>
      <c r="E284" s="148"/>
      <c r="F284" s="85"/>
      <c r="G284" s="408"/>
      <c r="H284" s="85"/>
      <c r="I284" s="416"/>
    </row>
    <row r="285" spans="1:9" ht="15.6">
      <c r="A285" s="85"/>
      <c r="B285" s="418"/>
      <c r="C285" s="477"/>
      <c r="D285" s="459"/>
      <c r="E285" s="85"/>
      <c r="F285" s="85"/>
      <c r="G285" s="408"/>
      <c r="H285" s="85"/>
      <c r="I285" s="416"/>
    </row>
    <row r="286" spans="1:9" ht="13.2">
      <c r="A286" s="410"/>
      <c r="B286" s="410"/>
      <c r="C286" s="410"/>
      <c r="D286" s="410"/>
      <c r="E286" s="410"/>
      <c r="F286" s="410"/>
      <c r="G286" s="410"/>
      <c r="H286" s="410"/>
      <c r="I286" s="416"/>
    </row>
    <row r="287" spans="1:9" ht="13.2">
      <c r="A287" s="411"/>
      <c r="B287" s="85"/>
      <c r="C287" s="85"/>
      <c r="D287" s="85"/>
      <c r="E287" s="148"/>
      <c r="F287" s="85"/>
      <c r="G287" s="413"/>
      <c r="H287" s="85"/>
      <c r="I287" s="416"/>
    </row>
    <row r="288" spans="1:9" ht="13.2">
      <c r="A288" s="411"/>
      <c r="B288" s="85"/>
      <c r="C288" s="85"/>
      <c r="D288" s="85"/>
      <c r="E288" s="148"/>
      <c r="F288" s="85"/>
      <c r="G288" s="413"/>
      <c r="H288" s="85"/>
      <c r="I288" s="416"/>
    </row>
    <row r="289" spans="1:9" ht="13.2">
      <c r="A289" s="85"/>
      <c r="B289" s="85"/>
      <c r="C289" s="85"/>
      <c r="D289" s="85"/>
      <c r="E289" s="148"/>
      <c r="F289" s="85"/>
      <c r="G289" s="408"/>
      <c r="H289" s="85"/>
      <c r="I289" s="416"/>
    </row>
    <row r="290" spans="1:9" ht="16.8">
      <c r="A290" s="85"/>
      <c r="B290" s="409"/>
      <c r="C290" s="409"/>
      <c r="D290" s="409"/>
      <c r="E290" s="85"/>
      <c r="F290" s="85"/>
      <c r="G290" s="85"/>
      <c r="H290" s="85"/>
      <c r="I290" s="416"/>
    </row>
    <row r="291" spans="1:9" ht="13.2">
      <c r="A291" s="85"/>
      <c r="B291" s="85"/>
      <c r="C291" s="85"/>
      <c r="D291" s="85"/>
      <c r="E291" s="85"/>
      <c r="F291" s="85"/>
      <c r="G291" s="408"/>
      <c r="H291" s="85"/>
      <c r="I291" s="416"/>
    </row>
    <row r="292" spans="1:9" ht="13.2">
      <c r="A292" s="410"/>
      <c r="B292" s="410"/>
      <c r="C292" s="420"/>
      <c r="D292" s="420"/>
      <c r="E292" s="420"/>
      <c r="F292" s="420"/>
      <c r="G292" s="420"/>
      <c r="H292" s="420"/>
    </row>
    <row r="293" spans="1:9" ht="13.2">
      <c r="A293" s="411"/>
      <c r="B293" s="421"/>
      <c r="C293" s="422"/>
      <c r="D293" s="423"/>
      <c r="E293" s="422"/>
      <c r="F293" s="424"/>
      <c r="G293" s="425"/>
      <c r="H293" s="423"/>
    </row>
    <row r="299" spans="1:9" ht="16.8">
      <c r="A299" s="85"/>
      <c r="B299" s="426"/>
      <c r="C299" s="478" t="s">
        <v>1340</v>
      </c>
      <c r="D299" s="459"/>
      <c r="E299" s="85"/>
      <c r="F299" s="85"/>
      <c r="G299" s="85"/>
      <c r="H299" s="84"/>
    </row>
    <row r="300" spans="1:9" ht="13.2">
      <c r="A300" s="85"/>
      <c r="B300" s="85"/>
      <c r="C300" s="85"/>
      <c r="D300" s="85"/>
      <c r="E300" s="85"/>
      <c r="F300" s="85"/>
      <c r="G300" s="329"/>
      <c r="H300" s="84"/>
    </row>
    <row r="301" spans="1:9" ht="13.2">
      <c r="A301" s="427"/>
      <c r="B301" s="427"/>
      <c r="C301" s="428" t="s">
        <v>1341</v>
      </c>
      <c r="D301" s="428" t="s">
        <v>1064</v>
      </c>
      <c r="E301" s="428" t="s">
        <v>1065</v>
      </c>
      <c r="F301" s="428" t="s">
        <v>1066</v>
      </c>
      <c r="G301" s="429" t="s">
        <v>1067</v>
      </c>
      <c r="H301" s="429" t="s">
        <v>1068</v>
      </c>
    </row>
    <row r="302" spans="1:9" ht="13.2">
      <c r="A302" s="411"/>
      <c r="B302" s="84"/>
      <c r="C302" s="237" t="s">
        <v>1342</v>
      </c>
      <c r="D302" s="108" t="s">
        <v>1343</v>
      </c>
      <c r="E302" s="430"/>
      <c r="F302" s="391" t="s">
        <v>1194</v>
      </c>
      <c r="G302" s="431">
        <v>45275</v>
      </c>
      <c r="H302" s="306">
        <v>77</v>
      </c>
    </row>
    <row r="303" spans="1:9" ht="13.2">
      <c r="A303" s="411"/>
      <c r="B303" s="421"/>
      <c r="C303" s="432" t="s">
        <v>1344</v>
      </c>
      <c r="D303" s="433" t="s">
        <v>213</v>
      </c>
      <c r="E303" s="434"/>
      <c r="F303" s="391" t="s">
        <v>1198</v>
      </c>
      <c r="G303" s="306" t="s">
        <v>1203</v>
      </c>
      <c r="H303" s="108"/>
    </row>
    <row r="304" spans="1:9" ht="13.2">
      <c r="A304" s="411"/>
      <c r="B304" s="421"/>
      <c r="C304" s="432" t="s">
        <v>216</v>
      </c>
      <c r="D304" s="433" t="s">
        <v>964</v>
      </c>
      <c r="E304" s="434"/>
      <c r="F304" s="108"/>
      <c r="G304" s="431">
        <v>45275</v>
      </c>
      <c r="H304" s="306">
        <v>74</v>
      </c>
    </row>
    <row r="305" spans="1:8" ht="13.2">
      <c r="A305" s="414"/>
      <c r="B305" s="421"/>
      <c r="C305" s="432"/>
      <c r="D305" s="433"/>
      <c r="E305" s="434"/>
      <c r="F305" s="108"/>
      <c r="G305" s="306" t="s">
        <v>1203</v>
      </c>
      <c r="H305" s="108"/>
    </row>
    <row r="306" spans="1:8" ht="13.2">
      <c r="A306" s="414"/>
      <c r="B306" s="421"/>
      <c r="C306" s="432"/>
      <c r="D306" s="434"/>
      <c r="E306" s="434"/>
      <c r="F306" s="108"/>
      <c r="G306" s="306" t="s">
        <v>1203</v>
      </c>
      <c r="H306" s="108"/>
    </row>
    <row r="307" spans="1:8" ht="13.2">
      <c r="A307" s="84"/>
      <c r="B307" s="84"/>
      <c r="C307" s="84"/>
      <c r="D307" s="84"/>
      <c r="E307" s="84"/>
      <c r="F307" s="84"/>
      <c r="G307" s="84"/>
      <c r="H307" s="84"/>
    </row>
    <row r="308" spans="1:8" ht="16.8">
      <c r="A308" s="85"/>
      <c r="B308" s="426"/>
      <c r="C308" s="478" t="s">
        <v>1345</v>
      </c>
      <c r="D308" s="459"/>
      <c r="E308" s="85"/>
      <c r="F308" s="85"/>
      <c r="G308" s="85"/>
      <c r="H308" s="84"/>
    </row>
    <row r="309" spans="1:8" ht="13.2">
      <c r="A309" s="85"/>
      <c r="B309" s="85"/>
      <c r="C309" s="85"/>
      <c r="D309" s="85"/>
      <c r="E309" s="85"/>
      <c r="F309" s="85"/>
      <c r="G309" s="329"/>
      <c r="H309" s="84"/>
    </row>
    <row r="310" spans="1:8" ht="13.2">
      <c r="A310" s="427"/>
      <c r="B310" s="427"/>
      <c r="C310" s="428" t="s">
        <v>1341</v>
      </c>
      <c r="D310" s="428" t="s">
        <v>1064</v>
      </c>
      <c r="E310" s="428" t="s">
        <v>1065</v>
      </c>
      <c r="F310" s="428" t="s">
        <v>1066</v>
      </c>
      <c r="G310" s="429" t="s">
        <v>1067</v>
      </c>
      <c r="H310" s="429" t="s">
        <v>1068</v>
      </c>
    </row>
    <row r="311" spans="1:8" ht="13.2">
      <c r="A311" s="411"/>
      <c r="B311" s="84"/>
      <c r="C311" s="237" t="s">
        <v>1346</v>
      </c>
      <c r="D311" s="237" t="s">
        <v>1347</v>
      </c>
      <c r="E311" s="430"/>
      <c r="F311" s="280"/>
      <c r="G311" s="392">
        <v>45246</v>
      </c>
      <c r="H311" s="306">
        <v>82</v>
      </c>
    </row>
    <row r="312" spans="1:8" ht="13.2">
      <c r="A312" s="411"/>
      <c r="B312" s="421"/>
      <c r="C312" s="434" t="s">
        <v>1291</v>
      </c>
      <c r="D312" s="434" t="s">
        <v>1348</v>
      </c>
      <c r="E312" s="434"/>
      <c r="F312" s="280"/>
      <c r="G312" s="392">
        <v>45275</v>
      </c>
      <c r="H312" s="306" t="s">
        <v>1203</v>
      </c>
    </row>
    <row r="313" spans="1:8" ht="13.2">
      <c r="A313" s="411"/>
      <c r="B313" s="421"/>
      <c r="C313" s="434" t="s">
        <v>290</v>
      </c>
      <c r="D313" s="434" t="s">
        <v>293</v>
      </c>
      <c r="E313" s="434"/>
      <c r="F313" s="434"/>
      <c r="G313" s="431">
        <v>45275</v>
      </c>
      <c r="H313" s="306">
        <v>91</v>
      </c>
    </row>
    <row r="314" spans="1:8" ht="13.2">
      <c r="A314" s="414"/>
      <c r="B314" s="435"/>
      <c r="C314" s="436" t="s">
        <v>1349</v>
      </c>
      <c r="D314" s="434"/>
      <c r="E314" s="434"/>
      <c r="F314" s="108"/>
      <c r="G314" s="306" t="s">
        <v>1203</v>
      </c>
      <c r="H314" s="108"/>
    </row>
    <row r="315" spans="1:8" ht="13.2">
      <c r="A315" s="414"/>
      <c r="B315" s="421"/>
      <c r="C315" s="432"/>
      <c r="D315" s="434"/>
      <c r="E315" s="434"/>
      <c r="F315" s="108"/>
      <c r="G315" s="306" t="s">
        <v>1203</v>
      </c>
      <c r="H315" s="108"/>
    </row>
    <row r="316" spans="1:8" ht="13.2">
      <c r="A316" s="84"/>
      <c r="B316" s="84"/>
      <c r="C316" s="84"/>
      <c r="D316" s="84"/>
      <c r="E316" s="84"/>
      <c r="F316" s="84"/>
      <c r="G316" s="84"/>
      <c r="H316" s="84"/>
    </row>
    <row r="317" spans="1:8" ht="13.2">
      <c r="A317" s="411"/>
      <c r="B317" s="85"/>
      <c r="C317" s="85"/>
      <c r="D317" s="85"/>
      <c r="E317" s="85"/>
      <c r="F317" s="85"/>
      <c r="G317" s="85"/>
      <c r="H317" s="85"/>
    </row>
    <row r="318" spans="1:8" ht="13.2">
      <c r="A318" s="84"/>
      <c r="B318" s="84"/>
      <c r="C318" s="84"/>
      <c r="D318" s="84"/>
      <c r="E318" s="84"/>
      <c r="F318" s="84"/>
      <c r="G318" s="84"/>
      <c r="H318" s="84"/>
    </row>
    <row r="319" spans="1:8" ht="16.8">
      <c r="A319" s="85"/>
      <c r="B319" s="426"/>
      <c r="C319" s="478" t="s">
        <v>1350</v>
      </c>
      <c r="D319" s="459"/>
      <c r="E319" s="85"/>
      <c r="F319" s="85"/>
      <c r="G319" s="85"/>
      <c r="H319" s="84"/>
    </row>
    <row r="320" spans="1:8" ht="13.2">
      <c r="A320" s="85"/>
      <c r="B320" s="85"/>
      <c r="C320" s="85"/>
      <c r="D320" s="85"/>
      <c r="E320" s="85"/>
      <c r="F320" s="85"/>
      <c r="G320" s="329"/>
      <c r="H320" s="84"/>
    </row>
    <row r="321" spans="1:8" ht="13.2">
      <c r="A321" s="427"/>
      <c r="B321" s="427"/>
      <c r="C321" s="428" t="s">
        <v>1341</v>
      </c>
      <c r="D321" s="428" t="s">
        <v>1064</v>
      </c>
      <c r="E321" s="428" t="s">
        <v>1065</v>
      </c>
      <c r="F321" s="428" t="s">
        <v>1066</v>
      </c>
      <c r="G321" s="429" t="s">
        <v>1067</v>
      </c>
      <c r="H321" s="429" t="s">
        <v>1068</v>
      </c>
    </row>
    <row r="322" spans="1:8" ht="13.2">
      <c r="A322" s="411"/>
      <c r="B322" s="421"/>
      <c r="C322" s="433" t="s">
        <v>264</v>
      </c>
      <c r="D322" s="430" t="s">
        <v>1351</v>
      </c>
      <c r="E322" s="430"/>
      <c r="F322" s="391" t="s">
        <v>1147</v>
      </c>
      <c r="G322" s="306" t="s">
        <v>1203</v>
      </c>
      <c r="H322" s="108"/>
    </row>
    <row r="323" spans="1:8" ht="13.2">
      <c r="A323" s="85"/>
      <c r="B323" s="421"/>
      <c r="C323" s="421"/>
      <c r="D323" s="421"/>
      <c r="E323" s="421"/>
      <c r="F323" s="85"/>
      <c r="G323" s="84"/>
      <c r="H323" s="84"/>
    </row>
    <row r="324" spans="1:8" ht="16.8">
      <c r="A324" s="85"/>
      <c r="B324" s="426"/>
      <c r="C324" s="478" t="s">
        <v>1352</v>
      </c>
      <c r="D324" s="459"/>
      <c r="E324" s="85"/>
      <c r="F324" s="85"/>
      <c r="G324" s="85"/>
      <c r="H324" s="84"/>
    </row>
    <row r="325" spans="1:8" ht="13.2">
      <c r="A325" s="85"/>
      <c r="B325" s="85"/>
      <c r="C325" s="85"/>
      <c r="D325" s="85"/>
      <c r="E325" s="85"/>
      <c r="F325" s="85"/>
      <c r="G325" s="329"/>
      <c r="H325" s="84"/>
    </row>
    <row r="326" spans="1:8" ht="13.2">
      <c r="A326" s="427"/>
      <c r="B326" s="427"/>
      <c r="C326" s="428" t="s">
        <v>1341</v>
      </c>
      <c r="D326" s="428" t="s">
        <v>1064</v>
      </c>
      <c r="E326" s="428" t="s">
        <v>1065</v>
      </c>
      <c r="F326" s="428" t="s">
        <v>1066</v>
      </c>
      <c r="G326" s="429" t="s">
        <v>1067</v>
      </c>
      <c r="H326" s="429" t="s">
        <v>1068</v>
      </c>
    </row>
    <row r="327" spans="1:8" ht="13.2">
      <c r="A327" s="411"/>
      <c r="B327" s="421"/>
      <c r="C327" s="433" t="s">
        <v>264</v>
      </c>
      <c r="D327" s="430" t="s">
        <v>1351</v>
      </c>
      <c r="E327" s="430"/>
      <c r="F327" s="391" t="s">
        <v>1147</v>
      </c>
      <c r="G327" s="437" t="s">
        <v>1203</v>
      </c>
      <c r="H327" s="108"/>
    </row>
    <row r="328" spans="1:8" ht="13.2">
      <c r="A328" s="411"/>
      <c r="B328" s="435"/>
      <c r="C328" s="438" t="s">
        <v>1288</v>
      </c>
      <c r="D328" s="433"/>
      <c r="E328" s="433"/>
      <c r="F328" s="280"/>
      <c r="G328" s="108"/>
      <c r="H328" s="108"/>
    </row>
  </sheetData>
  <autoFilter ref="A4:AA153" xr:uid="{00000000-0009-0000-0000-000009000000}"/>
  <mergeCells count="19">
    <mergeCell ref="C319:D319"/>
    <mergeCell ref="C324:D324"/>
    <mergeCell ref="C243:D243"/>
    <mergeCell ref="C257:D257"/>
    <mergeCell ref="C262:D262"/>
    <mergeCell ref="C268:D268"/>
    <mergeCell ref="C270:D270"/>
    <mergeCell ref="C275:D275"/>
    <mergeCell ref="C281:D281"/>
    <mergeCell ref="C230:D230"/>
    <mergeCell ref="C237:D237"/>
    <mergeCell ref="C285:D285"/>
    <mergeCell ref="C299:D299"/>
    <mergeCell ref="C308:D308"/>
    <mergeCell ref="C194:D194"/>
    <mergeCell ref="H197:H198"/>
    <mergeCell ref="C203:D203"/>
    <mergeCell ref="C212:D212"/>
    <mergeCell ref="C223:D223"/>
  </mergeCells>
  <dataValidations count="1">
    <dataValidation type="list" allowBlank="1" showErrorMessage="1" sqref="B5:B190" xr:uid="{00000000-0002-0000-0900-000000000000}">
      <formula1>"PREDAVAČ,ASISTENT"</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3"/>
  <sheetViews>
    <sheetView workbookViewId="0"/>
  </sheetViews>
  <sheetFormatPr defaultColWidth="12.6640625" defaultRowHeight="15.75" customHeight="1"/>
  <cols>
    <col min="1" max="1" width="42.6640625" customWidth="1"/>
    <col min="2" max="2" width="19" customWidth="1"/>
    <col min="3" max="3" width="93.44140625" customWidth="1"/>
  </cols>
  <sheetData>
    <row r="1" spans="1:3">
      <c r="A1" s="439" t="s">
        <v>1353</v>
      </c>
      <c r="B1" s="439" t="s">
        <v>1354</v>
      </c>
      <c r="C1" s="439" t="s">
        <v>1355</v>
      </c>
    </row>
    <row r="2" spans="1:3">
      <c r="A2" s="73" t="s">
        <v>14</v>
      </c>
      <c r="B2" s="73">
        <v>3</v>
      </c>
      <c r="C2" s="439" t="s">
        <v>1356</v>
      </c>
    </row>
    <row r="3" spans="1:3">
      <c r="A3" s="73" t="s">
        <v>1357</v>
      </c>
      <c r="B3" s="73">
        <v>2</v>
      </c>
      <c r="C3" s="439" t="s">
        <v>1358</v>
      </c>
    </row>
    <row r="4" spans="1:3">
      <c r="A4" s="73" t="s">
        <v>1359</v>
      </c>
      <c r="B4" s="73">
        <v>2</v>
      </c>
      <c r="C4" s="439" t="s">
        <v>1360</v>
      </c>
    </row>
    <row r="5" spans="1:3">
      <c r="A5" s="73" t="s">
        <v>18</v>
      </c>
      <c r="B5" s="73">
        <v>1</v>
      </c>
      <c r="C5" s="439" t="s">
        <v>1361</v>
      </c>
    </row>
    <row r="6" spans="1:3">
      <c r="A6" s="73" t="s">
        <v>21</v>
      </c>
      <c r="B6" s="73">
        <v>1</v>
      </c>
      <c r="C6" s="439" t="s">
        <v>1360</v>
      </c>
    </row>
    <row r="7" spans="1:3">
      <c r="A7" s="73" t="s">
        <v>1362</v>
      </c>
      <c r="B7" s="73">
        <v>1</v>
      </c>
      <c r="C7" s="439" t="s">
        <v>1363</v>
      </c>
    </row>
    <row r="10" spans="1:3">
      <c r="A10" s="440" t="s">
        <v>1364</v>
      </c>
      <c r="B10" s="440">
        <v>8910</v>
      </c>
      <c r="C10" s="440">
        <v>910</v>
      </c>
    </row>
    <row r="11" spans="1:3">
      <c r="A11" s="440" t="s">
        <v>1365</v>
      </c>
      <c r="B11" s="440">
        <v>567</v>
      </c>
      <c r="C11" s="440">
        <v>78</v>
      </c>
    </row>
    <row r="12" spans="1:3">
      <c r="A12" s="440" t="s">
        <v>1366</v>
      </c>
      <c r="B12" s="440">
        <v>34</v>
      </c>
      <c r="C12" s="440">
        <v>456</v>
      </c>
    </row>
    <row r="13" spans="1:3">
      <c r="A13" s="440" t="s">
        <v>1367</v>
      </c>
      <c r="B13" s="440">
        <v>12</v>
      </c>
      <c r="C13" s="440">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NTC centri 2526</vt:lpstr>
      <vt:lpstr>NTC centri 2425</vt:lpstr>
      <vt:lpstr>Potencijalni centri 2526</vt:lpstr>
      <vt:lpstr>Samo sekcija 2526</vt:lpstr>
      <vt:lpstr>Zainteresovani za centre - spec</vt:lpstr>
      <vt:lpstr>List 17</vt:lpstr>
      <vt:lpstr>Potencijalni centri 2425</vt:lpstr>
      <vt:lpstr>Samo sekcija 2425</vt:lpstr>
      <vt:lpstr>Samo sekcija 2324</vt:lpstr>
      <vt:lpstr>Spisak predavača po centrima</vt:lpstr>
      <vt:lpstr>Pravila rankiranja centara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Tomislav Rajovic</cp:lastModifiedBy>
  <dcterms:modified xsi:type="dcterms:W3CDTF">2026-01-16T19:33:40Z</dcterms:modified>
</cp:coreProperties>
</file>